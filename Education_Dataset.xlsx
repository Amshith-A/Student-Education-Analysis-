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A:\UpGrad\"/>
    </mc:Choice>
  </mc:AlternateContent>
  <xr:revisionPtr revIDLastSave="0" documentId="13_ncr:1_{79B7420A-9BB2-426A-BF2B-C9F123106398}" xr6:coauthVersionLast="47" xr6:coauthVersionMax="47" xr10:uidLastSave="{00000000-0000-0000-0000-000000000000}"/>
  <bookViews>
    <workbookView xWindow="-108" yWindow="-108" windowWidth="23256" windowHeight="13176" firstSheet="4" activeTab="7" xr2:uid="{CEDA3F2A-BC30-4079-8196-BF4162B6A832}"/>
  </bookViews>
  <sheets>
    <sheet name="Education_Dataset" sheetId="1" r:id="rId1"/>
    <sheet name="Top scorer by gender from years" sheetId="2" r:id="rId2"/>
    <sheet name="Attandance by year" sheetId="3" r:id="rId3"/>
    <sheet name="cgpa by field of study by year" sheetId="4" r:id="rId4"/>
    <sheet name="club participation by attandanc" sheetId="5" r:id="rId5"/>
    <sheet name="living type by sleep" sheetId="6" r:id="rId6"/>
    <sheet name="kpis &amp; slicers" sheetId="7" r:id="rId7"/>
    <sheet name="Dashboard" sheetId="8" r:id="rId8"/>
  </sheets>
  <definedNames>
    <definedName name="Slicer_Club_Participation">#N/A</definedName>
    <definedName name="Slicer_Course">#N/A</definedName>
    <definedName name="Slicer_Gender">#N/A</definedName>
    <definedName name="Slicer_Living_Type">#N/A</definedName>
    <definedName name="Slicer_Year_of_Stud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7" l="1"/>
  <c r="E6" i="7"/>
  <c r="D6" i="7"/>
  <c r="C6" i="7"/>
  <c r="B6" i="7"/>
  <c r="C6" i="6"/>
  <c r="C5" i="6"/>
  <c r="C4" i="6"/>
  <c r="D4" i="5"/>
  <c r="C7" i="3"/>
  <c r="C6" i="3"/>
  <c r="C5" i="3"/>
  <c r="C4" i="3"/>
  <c r="D8" i="5"/>
  <c r="D7" i="5"/>
  <c r="D6" i="5"/>
  <c r="D5" i="5"/>
</calcChain>
</file>

<file path=xl/sharedStrings.xml><?xml version="1.0" encoding="utf-8"?>
<sst xmlns="http://schemas.openxmlformats.org/spreadsheetml/2006/main" count="5438" uniqueCount="942">
  <si>
    <t>Student_ID</t>
  </si>
  <si>
    <t>Age</t>
  </si>
  <si>
    <t>Gender</t>
  </si>
  <si>
    <t>Course</t>
  </si>
  <si>
    <t>Year_of_Study</t>
  </si>
  <si>
    <t>CGPA</t>
  </si>
  <si>
    <t>Exam_Frequency</t>
  </si>
  <si>
    <t>Attendance_%</t>
  </si>
  <si>
    <t>Living_Type</t>
  </si>
  <si>
    <t>Club_Participation</t>
  </si>
  <si>
    <t>Social_Media_Usage_hrs</t>
  </si>
  <si>
    <t>Career_Anxiety_Level</t>
  </si>
  <si>
    <t>Sleep_Hours</t>
  </si>
  <si>
    <t>Counseling_Access</t>
  </si>
  <si>
    <t>S0001</t>
  </si>
  <si>
    <t>Male</t>
  </si>
  <si>
    <t>BSc CS</t>
  </si>
  <si>
    <t>Day Scholar</t>
  </si>
  <si>
    <t>None</t>
  </si>
  <si>
    <t>Yes</t>
  </si>
  <si>
    <t>S0002</t>
  </si>
  <si>
    <t>Female</t>
  </si>
  <si>
    <t>MBA</t>
  </si>
  <si>
    <t>Tech</t>
  </si>
  <si>
    <t>No</t>
  </si>
  <si>
    <t>S0003</t>
  </si>
  <si>
    <t>MCA</t>
  </si>
  <si>
    <t>Room</t>
  </si>
  <si>
    <t>S0004</t>
  </si>
  <si>
    <t>MTech</t>
  </si>
  <si>
    <t>Hostel</t>
  </si>
  <si>
    <t>S0005</t>
  </si>
  <si>
    <t>BTech</t>
  </si>
  <si>
    <t>Sports</t>
  </si>
  <si>
    <t>S0006</t>
  </si>
  <si>
    <t>Literature</t>
  </si>
  <si>
    <t>S0007</t>
  </si>
  <si>
    <t>BCA</t>
  </si>
  <si>
    <t>S0008</t>
  </si>
  <si>
    <t>BCom</t>
  </si>
  <si>
    <t>S0009</t>
  </si>
  <si>
    <t>S0010</t>
  </si>
  <si>
    <t>S0011</t>
  </si>
  <si>
    <t>BA</t>
  </si>
  <si>
    <t>S0012</t>
  </si>
  <si>
    <t>S0013</t>
  </si>
  <si>
    <t>S0014</t>
  </si>
  <si>
    <t>S0015</t>
  </si>
  <si>
    <t>BBA</t>
  </si>
  <si>
    <t>S0016</t>
  </si>
  <si>
    <t>S0017</t>
  </si>
  <si>
    <t>S0018</t>
  </si>
  <si>
    <t>S0019</t>
  </si>
  <si>
    <t>S0020</t>
  </si>
  <si>
    <t>Cultural</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</si>
  <si>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</si>
  <si>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</si>
  <si>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</si>
  <si>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</si>
  <si>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</si>
  <si>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</si>
  <si>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</si>
  <si>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</si>
  <si>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</si>
  <si>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</si>
  <si>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</si>
  <si>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</si>
  <si>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</si>
  <si>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</si>
  <si>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</si>
  <si>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</si>
  <si>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</si>
  <si>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</si>
  <si>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</si>
  <si>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</si>
  <si>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</si>
  <si>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</si>
  <si>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</si>
  <si>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</si>
  <si>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</si>
  <si>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</si>
  <si>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</si>
  <si>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</si>
  <si>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</si>
  <si>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</si>
  <si>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</si>
  <si>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</si>
  <si>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</si>
  <si>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</si>
  <si>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</si>
  <si>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</si>
  <si>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</si>
  <si>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</si>
  <si>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</si>
  <si>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</si>
  <si>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</si>
  <si>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</si>
  <si>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</si>
  <si>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</si>
  <si>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</si>
  <si>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</si>
  <si>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</si>
  <si>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</si>
  <si>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</si>
  <si>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</si>
  <si>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</si>
  <si>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</si>
  <si>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</si>
  <si>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</si>
  <si>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</si>
  <si>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</si>
  <si>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</si>
  <si>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</si>
  <si>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</si>
  <si>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</si>
  <si>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</si>
  <si>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</si>
  <si>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</si>
  <si>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</si>
  <si>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</si>
  <si>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</si>
  <si>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</si>
  <si>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</si>
  <si>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</si>
  <si>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</si>
  <si>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</si>
  <si>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</si>
  <si>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</si>
  <si>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</si>
  <si>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</si>
  <si>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</si>
  <si>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</si>
  <si>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</si>
  <si>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</si>
  <si>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</si>
  <si>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</si>
  <si>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</si>
  <si>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</si>
  <si>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</si>
  <si>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</si>
  <si>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</si>
  <si>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</si>
  <si>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</si>
  <si>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</si>
  <si>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</si>
  <si>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</si>
  <si>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</si>
  <si>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</si>
  <si>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</si>
  <si>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</si>
  <si>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</si>
  <si>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</si>
  <si>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</si>
  <si>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</si>
  <si>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</si>
  <si>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</si>
  <si>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</si>
  <si>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</si>
  <si>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</si>
  <si>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</si>
  <si>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</si>
  <si>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</si>
  <si>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</si>
  <si>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</si>
  <si>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</si>
  <si>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</si>
  <si>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</si>
  <si>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</si>
  <si>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</si>
  <si>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</si>
  <si>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</si>
  <si>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</si>
  <si>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</si>
  <si>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</si>
  <si>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</si>
  <si>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</si>
  <si>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</si>
  <si>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</si>
  <si>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</si>
  <si>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</si>
  <si>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</si>
  <si>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</si>
  <si>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</si>
  <si>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</si>
  <si>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</si>
  <si>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</si>
  <si>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</si>
  <si>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</si>
  <si>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</si>
  <si>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</si>
  <si>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</si>
  <si>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</si>
  <si>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</si>
  <si>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</si>
  <si>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</si>
  <si>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</si>
  <si>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</si>
  <si>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</si>
  <si>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</si>
  <si>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</si>
  <si>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</si>
  <si>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</si>
  <si>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</si>
  <si>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</si>
  <si>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</si>
  <si>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</si>
  <si>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</si>
  <si>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</si>
  <si>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</si>
  <si>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</si>
  <si>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</si>
  <si>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</si>
  <si>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</si>
  <si>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</si>
  <si>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</si>
  <si>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</si>
  <si>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</si>
  <si>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</si>
  <si>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</si>
  <si>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</si>
  <si>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</si>
  <si>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</si>
  <si>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</si>
  <si>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</si>
  <si>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</si>
  <si>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</si>
  <si>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</si>
  <si>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</si>
  <si>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</si>
  <si>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</si>
  <si>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</si>
  <si>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</si>
  <si>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</si>
  <si>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</si>
  <si>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</si>
  <si>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</si>
  <si>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</si>
  <si>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</si>
  <si>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</si>
  <si>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</si>
  <si>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</si>
  <si>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</si>
  <si>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</si>
  <si>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</si>
  <si>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</si>
  <si>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</si>
  <si>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</si>
  <si>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</si>
  <si>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</si>
  <si>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</si>
  <si>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</si>
  <si>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</si>
  <si>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</si>
  <si>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</si>
  <si>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</si>
  <si>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</si>
  <si>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</si>
  <si>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</si>
  <si>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</si>
  <si>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</si>
  <si>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</si>
  <si>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</si>
  <si>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</si>
  <si>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</si>
  <si>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</si>
  <si>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</si>
  <si>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</si>
  <si>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</si>
  <si>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</si>
  <si>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</si>
  <si>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</si>
  <si>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</si>
  <si>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</si>
  <si>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</si>
  <si>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</si>
  <si>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</si>
  <si>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</si>
  <si>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</si>
  <si>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</si>
  <si>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</si>
  <si>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</si>
  <si>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</si>
  <si>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</si>
  <si>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</si>
  <si>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</si>
  <si>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</si>
  <si>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</si>
  <si>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</si>
  <si>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</si>
  <si>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</si>
  <si>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</si>
  <si>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</si>
  <si>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</si>
  <si>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</si>
  <si>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</si>
  <si>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</si>
  <si>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</si>
  <si>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</si>
  <si>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</si>
  <si>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</si>
  <si>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</si>
  <si>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</si>
  <si>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</si>
  <si>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</si>
  <si>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</si>
  <si>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</si>
  <si>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</si>
  <si>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</si>
  <si>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</si>
  <si>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</si>
  <si>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</si>
  <si>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</si>
  <si>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</si>
  <si>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</si>
  <si>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</si>
  <si>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</si>
  <si>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</si>
  <si>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</si>
  <si>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</si>
  <si>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</si>
  <si>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</si>
  <si>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</si>
  <si>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</si>
  <si>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</si>
  <si>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</si>
  <si>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</si>
  <si>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</si>
  <si>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</si>
  <si>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</si>
  <si>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</si>
  <si>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</si>
  <si>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</si>
  <si>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</si>
  <si>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</si>
  <si>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</si>
  <si>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</si>
  <si>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</si>
  <si>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</si>
  <si>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</si>
  <si>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</si>
  <si>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</si>
  <si>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</si>
  <si>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</si>
  <si>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</si>
  <si>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</si>
  <si>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</si>
  <si>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</si>
  <si>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</si>
  <si>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</si>
  <si>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</si>
  <si>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</si>
  <si>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</si>
  <si>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</si>
  <si>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</si>
  <si>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</si>
  <si>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</si>
  <si>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</si>
  <si>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</si>
  <si>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</si>
  <si>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</si>
  <si>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</si>
  <si>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</si>
  <si>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</si>
  <si>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</si>
  <si>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</si>
  <si>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</si>
  <si>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</si>
  <si>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</si>
  <si>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</si>
  <si>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</si>
  <si>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</si>
  <si>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</si>
  <si>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</si>
  <si>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</si>
  <si>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</si>
  <si>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</si>
  <si>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</si>
  <si>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</si>
  <si>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</si>
  <si>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</si>
  <si>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</si>
  <si>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</si>
  <si>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</si>
  <si>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</si>
  <si>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</si>
  <si>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</si>
  <si>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</si>
  <si>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</si>
  <si>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</si>
  <si>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</si>
  <si>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</si>
  <si>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</si>
  <si>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</si>
  <si>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</si>
  <si>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</si>
  <si>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</si>
  <si>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</si>
  <si>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</si>
  <si>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</si>
  <si>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</si>
  <si>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</si>
  <si>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</si>
  <si>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</si>
  <si>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</si>
  <si>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</si>
  <si>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</si>
  <si>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</si>
  <si>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</si>
  <si>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</si>
  <si>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</si>
  <si>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</si>
  <si>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</si>
  <si>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</si>
  <si>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</si>
  <si>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</si>
  <si>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</si>
  <si>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</si>
  <si>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</si>
  <si>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</si>
  <si>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</si>
  <si>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</si>
  <si>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</si>
  <si>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</si>
  <si>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</si>
  <si>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</si>
  <si>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</si>
  <si>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</si>
  <si>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</si>
  <si>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</si>
  <si>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</si>
  <si>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</si>
  <si>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</si>
  <si>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</si>
  <si>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</si>
  <si>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</si>
  <si>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</si>
  <si>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</si>
  <si>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</si>
  <si>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</si>
  <si>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</si>
  <si>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</si>
  <si>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</si>
  <si>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</si>
  <si>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</si>
  <si>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</si>
  <si>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</si>
  <si>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</si>
  <si>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</si>
  <si>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</si>
  <si>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</si>
  <si>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</si>
  <si>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</si>
  <si>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</si>
  <si>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</si>
  <si>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</si>
  <si>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</si>
  <si>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</si>
  <si>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</si>
  <si>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</si>
  <si>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</si>
  <si>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</si>
  <si>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</si>
  <si>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</si>
  <si>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</si>
  <si>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</si>
  <si>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</si>
  <si>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</si>
  <si>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S0434</t>
  </si>
  <si>
    <t>S0435</t>
  </si>
  <si>
    <t>S0436</t>
  </si>
  <si>
    <t>S0437</t>
  </si>
  <si>
    <t>S0438</t>
  </si>
  <si>
    <t>S0439</t>
  </si>
  <si>
    <t>S0440</t>
  </si>
  <si>
    <t>S0441</t>
  </si>
  <si>
    <t>S0442</t>
  </si>
  <si>
    <t>S0443</t>
  </si>
  <si>
    <t>S0444</t>
  </si>
  <si>
    <t>S0445</t>
  </si>
  <si>
    <t>S0446</t>
  </si>
  <si>
    <t>S0447</t>
  </si>
  <si>
    <t>S0448</t>
  </si>
  <si>
    <t>S0449</t>
  </si>
  <si>
    <t>S0450</t>
  </si>
  <si>
    <t>S0451</t>
  </si>
  <si>
    <t>S0452</t>
  </si>
  <si>
    <t>S0453</t>
  </si>
  <si>
    <t>S0454</t>
  </si>
  <si>
    <t>S0455</t>
  </si>
  <si>
    <t>S0456</t>
  </si>
  <si>
    <t>S0457</t>
  </si>
  <si>
    <t>S0458</t>
  </si>
  <si>
    <t>S0459</t>
  </si>
  <si>
    <t>S0460</t>
  </si>
  <si>
    <t>S0461</t>
  </si>
  <si>
    <t>S0462</t>
  </si>
  <si>
    <t>S0463</t>
  </si>
  <si>
    <t>S0464</t>
  </si>
  <si>
    <t>S0466</t>
  </si>
  <si>
    <t>S0467</t>
  </si>
  <si>
    <t>S0468</t>
  </si>
  <si>
    <t>S0469</t>
  </si>
  <si>
    <t>S0470</t>
  </si>
  <si>
    <t>S0471</t>
  </si>
  <si>
    <t>S0472</t>
  </si>
  <si>
    <t>S0473</t>
  </si>
  <si>
    <t>S0474</t>
  </si>
  <si>
    <t>S0475</t>
  </si>
  <si>
    <t>S0476</t>
  </si>
  <si>
    <t>S0477</t>
  </si>
  <si>
    <t>S0478</t>
  </si>
  <si>
    <t>S0479</t>
  </si>
  <si>
    <t>S0480</t>
  </si>
  <si>
    <t>S0481</t>
  </si>
  <si>
    <t>S0482</t>
  </si>
  <si>
    <t>S0483</t>
  </si>
  <si>
    <t>S0484</t>
  </si>
  <si>
    <t>S0485</t>
  </si>
  <si>
    <t>S0486</t>
  </si>
  <si>
    <t>S0487</t>
  </si>
  <si>
    <t>S0488</t>
  </si>
  <si>
    <t>S0489</t>
  </si>
  <si>
    <t>S0490</t>
  </si>
  <si>
    <t>S0491</t>
  </si>
  <si>
    <t>S0492</t>
  </si>
  <si>
    <t>S0493</t>
  </si>
  <si>
    <t>S0494</t>
  </si>
  <si>
    <t>S0495</t>
  </si>
  <si>
    <t>S0496</t>
  </si>
  <si>
    <t>S0497</t>
  </si>
  <si>
    <t>S0498</t>
  </si>
  <si>
    <t>S0499</t>
  </si>
  <si>
    <t>S0500</t>
  </si>
  <si>
    <t>S0501</t>
  </si>
  <si>
    <t>S0502</t>
  </si>
  <si>
    <t>S0503</t>
  </si>
  <si>
    <t>S0504</t>
  </si>
  <si>
    <t>S0505</t>
  </si>
  <si>
    <t>S0506</t>
  </si>
  <si>
    <t>S0507</t>
  </si>
  <si>
    <t>S0508</t>
  </si>
  <si>
    <t>S0509</t>
  </si>
  <si>
    <t>S0510</t>
  </si>
  <si>
    <t>S0511</t>
  </si>
  <si>
    <t>S0512</t>
  </si>
  <si>
    <t>S0513</t>
  </si>
  <si>
    <t>S0514</t>
  </si>
  <si>
    <t>S0515</t>
  </si>
  <si>
    <t>S0516</t>
  </si>
  <si>
    <t>S0517</t>
  </si>
  <si>
    <t>S0518</t>
  </si>
  <si>
    <t>S0519</t>
  </si>
  <si>
    <t>S0520</t>
  </si>
  <si>
    <t>S0521</t>
  </si>
  <si>
    <t>S0522</t>
  </si>
  <si>
    <t>S0523</t>
  </si>
  <si>
    <t>S0524</t>
  </si>
  <si>
    <t>S0525</t>
  </si>
  <si>
    <t>S0526</t>
  </si>
  <si>
    <t>S0527</t>
  </si>
  <si>
    <t>S0528</t>
  </si>
  <si>
    <t>S0529</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</si>
  <si>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</si>
  <si>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</si>
  <si>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</si>
  <si>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</si>
  <si>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</si>
  <si>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</si>
  <si>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</si>
  <si>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</si>
  <si>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</si>
  <si>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</si>
  <si>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</si>
  <si>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</si>
  <si>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</si>
  <si>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</si>
  <si>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</si>
  <si>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</si>
  <si>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</si>
  <si>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</si>
  <si>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</si>
  <si>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</si>
  <si>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S0550</t>
  </si>
  <si>
    <t>S0551</t>
  </si>
  <si>
    <t>S0552</t>
  </si>
  <si>
    <t>S0553</t>
  </si>
  <si>
    <t>S0554</t>
  </si>
  <si>
    <t>S0555</t>
  </si>
  <si>
    <t>S0556</t>
  </si>
  <si>
    <t>S0557</t>
  </si>
  <si>
    <t>S0558</t>
  </si>
  <si>
    <t>S0559</t>
  </si>
  <si>
    <t>S0560</t>
  </si>
  <si>
    <t>S0561</t>
  </si>
  <si>
    <t>S0562</t>
  </si>
  <si>
    <t>S0563</t>
  </si>
  <si>
    <t>S0564</t>
  </si>
  <si>
    <t>S0566</t>
  </si>
  <si>
    <t>S0567</t>
  </si>
  <si>
    <t>S0568</t>
  </si>
  <si>
    <t>S0569</t>
  </si>
  <si>
    <t>S0570</t>
  </si>
  <si>
    <t>S0571</t>
  </si>
  <si>
    <t>S0572</t>
  </si>
  <si>
    <t>S0573</t>
  </si>
  <si>
    <t>S0574</t>
  </si>
  <si>
    <t>S0575</t>
  </si>
  <si>
    <t>S0576</t>
  </si>
  <si>
    <t>S0577</t>
  </si>
  <si>
    <t>S0578</t>
  </si>
  <si>
    <t>S0579</t>
  </si>
  <si>
    <t>S0580</t>
  </si>
  <si>
    <t>S0581</t>
  </si>
  <si>
    <t>S0582</t>
  </si>
  <si>
    <t>S0583</t>
  </si>
  <si>
    <t>S0584</t>
  </si>
  <si>
    <t>S0585</t>
  </si>
  <si>
    <t>S0586</t>
  </si>
  <si>
    <t>S0587</t>
  </si>
  <si>
    <t>S0588</t>
  </si>
  <si>
    <t>S0589</t>
  </si>
  <si>
    <t>S0590</t>
  </si>
  <si>
    <t>S0591</t>
  </si>
  <si>
    <t>S0592</t>
  </si>
  <si>
    <t>S0593</t>
  </si>
  <si>
    <t>S0594</t>
  </si>
  <si>
    <t>S0595</t>
  </si>
  <si>
    <t>S0596</t>
  </si>
  <si>
    <t>S0597</t>
  </si>
  <si>
    <t>S0598</t>
  </si>
  <si>
    <t>S0599</t>
  </si>
  <si>
    <t>S0600</t>
  </si>
  <si>
    <t>S0601</t>
  </si>
  <si>
    <t>S0602</t>
  </si>
  <si>
    <t>S0603</t>
  </si>
  <si>
    <t>S0604</t>
  </si>
  <si>
    <t>S0605</t>
  </si>
  <si>
    <t>S0607</t>
  </si>
  <si>
    <t>S0608</t>
  </si>
  <si>
    <t>S0609</t>
  </si>
  <si>
    <t>S0610</t>
  </si>
  <si>
    <t>S0611</t>
  </si>
  <si>
    <t>S0612</t>
  </si>
  <si>
    <t>S0613</t>
  </si>
  <si>
    <t>S0614</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</si>
  <si>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</si>
  <si>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</si>
  <si>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</si>
  <si>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</si>
  <si>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</si>
  <si>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</si>
  <si>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</si>
  <si>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</si>
  <si>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</si>
  <si>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</si>
  <si>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</si>
  <si>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</si>
  <si>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</si>
  <si>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</si>
  <si>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</si>
  <si>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</si>
  <si>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</si>
  <si>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</si>
  <si>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</si>
  <si>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</si>
  <si>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</si>
  <si>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</si>
  <si>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</si>
  <si>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</si>
  <si>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</si>
  <si>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</si>
  <si>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</si>
  <si>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</si>
  <si>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</si>
  <si>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</si>
  <si>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</si>
  <si>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</si>
  <si>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</si>
  <si>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</si>
  <si>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</si>
  <si>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</si>
  <si>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S0651</t>
  </si>
  <si>
    <t>S0652</t>
  </si>
  <si>
    <t>S0653</t>
  </si>
  <si>
    <t>S0654</t>
  </si>
  <si>
    <t>S0655</t>
  </si>
  <si>
    <t>S0656</t>
  </si>
  <si>
    <t>S0657</t>
  </si>
  <si>
    <t>S0658</t>
  </si>
  <si>
    <t>S0659</t>
  </si>
  <si>
    <t>S0660</t>
  </si>
  <si>
    <t>S0661</t>
  </si>
  <si>
    <t>S0662</t>
  </si>
  <si>
    <t>S0663</t>
  </si>
  <si>
    <t>S0664</t>
  </si>
  <si>
    <t>S0665</t>
  </si>
  <si>
    <t>S0666</t>
  </si>
  <si>
    <t>S0667</t>
  </si>
  <si>
    <t>S0668</t>
  </si>
  <si>
    <t>S0669</t>
  </si>
  <si>
    <t>S0670</t>
  </si>
  <si>
    <t>S0671</t>
  </si>
  <si>
    <t>S0672</t>
  </si>
  <si>
    <t>S0673</t>
  </si>
  <si>
    <t>S0674</t>
  </si>
  <si>
    <t>S0675</t>
  </si>
  <si>
    <t>S0676</t>
  </si>
  <si>
    <t>S0677</t>
  </si>
  <si>
    <t>S0678</t>
  </si>
  <si>
    <t>S0679</t>
  </si>
  <si>
    <t>S0680</t>
  </si>
  <si>
    <t>S0681</t>
  </si>
  <si>
    <t>S0682</t>
  </si>
  <si>
    <t>S0683</t>
  </si>
  <si>
    <t>S0684</t>
  </si>
  <si>
    <t>S0685</t>
  </si>
  <si>
    <t>S0686</t>
  </si>
  <si>
    <t>S0687</t>
  </si>
  <si>
    <t>S0688</t>
  </si>
  <si>
    <t>S0689</t>
  </si>
  <si>
    <t>S0690</t>
  </si>
  <si>
    <t>S0691</t>
  </si>
  <si>
    <t>S0692</t>
  </si>
  <si>
    <t>S0693</t>
  </si>
  <si>
    <t>S0694</t>
  </si>
  <si>
    <t>S0695</t>
  </si>
  <si>
    <t>S0696</t>
  </si>
  <si>
    <t>S0697</t>
  </si>
  <si>
    <t>S0698</t>
  </si>
  <si>
    <t>S0699</t>
  </si>
  <si>
    <t>S0700</t>
  </si>
  <si>
    <t>S0701</t>
  </si>
  <si>
    <t>S0702</t>
  </si>
  <si>
    <t>S0703</t>
  </si>
  <si>
    <t>S0704</t>
  </si>
  <si>
    <t>S0705</t>
  </si>
  <si>
    <t>S0707</t>
  </si>
  <si>
    <t>S0708</t>
  </si>
  <si>
    <t>S0709</t>
  </si>
  <si>
    <t>S0710</t>
  </si>
  <si>
    <t>S0711</t>
  </si>
  <si>
    <t>S0712</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</si>
  <si>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</si>
  <si>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</si>
  <si>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</si>
  <si>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</si>
  <si>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</si>
  <si>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</si>
  <si>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</si>
  <si>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</si>
  <si>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</si>
  <si>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</si>
  <si>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</si>
  <si>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</si>
  <si>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</si>
  <si>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</si>
  <si>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</si>
  <si>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</si>
  <si>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</si>
  <si>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</si>
  <si>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</si>
  <si>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</si>
  <si>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</si>
  <si>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</si>
  <si>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</si>
  <si>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</si>
  <si>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</si>
  <si>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</si>
  <si>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</si>
  <si>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</si>
  <si>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</si>
  <si>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</si>
  <si>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</si>
  <si>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</si>
  <si>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</si>
  <si>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</si>
  <si>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</si>
  <si>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</si>
  <si>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</si>
  <si>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</si>
  <si>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</si>
  <si>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</si>
  <si>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</si>
  <si>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</si>
  <si>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</si>
  <si>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</si>
  <si>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</si>
  <si>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</si>
  <si>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</si>
  <si>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</si>
  <si>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</si>
  <si>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</si>
  <si>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</si>
  <si>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</si>
  <si>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</si>
  <si>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</si>
  <si>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</si>
  <si>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</si>
  <si>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</si>
  <si>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</si>
  <si>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</si>
  <si>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</si>
  <si>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</si>
  <si>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</si>
  <si>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</si>
  <si>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</si>
  <si>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</si>
  <si>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</si>
  <si>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S0779</t>
  </si>
  <si>
    <t>S0780</t>
  </si>
  <si>
    <t>S0781</t>
  </si>
  <si>
    <t>S0782</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</si>
  <si>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</si>
  <si>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</si>
  <si>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</si>
  <si>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</si>
  <si>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</si>
  <si>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</si>
  <si>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</si>
  <si>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</si>
  <si>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</si>
  <si>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</si>
  <si>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</si>
  <si>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</si>
  <si>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</si>
  <si>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</si>
  <si>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</si>
  <si>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</si>
  <si>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</si>
  <si>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</si>
  <si>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</si>
  <si>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</si>
  <si>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</si>
  <si>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</si>
  <si>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</si>
  <si>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</si>
  <si>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</si>
  <si>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S0808</t>
  </si>
  <si>
    <t>S0809</t>
  </si>
  <si>
    <t>S0810</t>
  </si>
  <si>
    <t>S0811</t>
  </si>
  <si>
    <t>S0812</t>
  </si>
  <si>
    <t>S0813</t>
  </si>
  <si>
    <t>S0814</t>
  </si>
  <si>
    <t>S0815</t>
  </si>
  <si>
    <t>S0816</t>
  </si>
  <si>
    <t>S0817</t>
  </si>
  <si>
    <t>S0818</t>
  </si>
  <si>
    <t>S0819</t>
  </si>
  <si>
    <t>S0820</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</si>
  <si>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</si>
  <si>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</si>
  <si>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</si>
  <si>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</si>
  <si>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</si>
  <si>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</si>
  <si>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</si>
  <si>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</si>
  <si>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</si>
  <si>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</si>
  <si>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</si>
  <si>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</si>
  <si>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</si>
  <si>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</si>
  <si>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</si>
  <si>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</si>
  <si>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</si>
  <si>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</si>
  <si>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</si>
  <si>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</si>
  <si>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</si>
  <si>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</si>
  <si>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</si>
  <si>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</si>
  <si>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</si>
  <si>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</si>
  <si>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</si>
  <si>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</si>
  <si>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</si>
  <si>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</si>
  <si>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</si>
  <si>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S0852</t>
  </si>
  <si>
    <t>S0853</t>
  </si>
  <si>
    <t>S0854</t>
  </si>
  <si>
    <t>S0855</t>
  </si>
  <si>
    <t>S0856</t>
  </si>
  <si>
    <t>S0857</t>
  </si>
  <si>
    <t>S0858</t>
  </si>
  <si>
    <t>S0859</t>
  </si>
  <si>
    <t>S0860</t>
  </si>
  <si>
    <t>S0861</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</si>
  <si>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</si>
  <si>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</si>
  <si>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</si>
  <si>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</si>
  <si>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</si>
  <si>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</si>
  <si>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</si>
  <si>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</si>
  <si>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</si>
  <si>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</si>
  <si>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</si>
  <si>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</si>
  <si>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</si>
  <si>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</si>
  <si>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</si>
  <si>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</si>
  <si>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</si>
  <si>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</si>
  <si>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</si>
  <si>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</si>
  <si>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</si>
  <si>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</si>
  <si>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</si>
  <si>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</si>
  <si>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</si>
  <si>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</si>
  <si>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S0888</t>
  </si>
  <si>
    <t>S0889</t>
  </si>
  <si>
    <t>S0890</t>
  </si>
  <si>
    <t>S0891</t>
  </si>
  <si>
    <t>S0892</t>
  </si>
  <si>
    <t>S0893</t>
  </si>
  <si>
    <t>S0894</t>
  </si>
  <si>
    <t>S0895</t>
  </si>
  <si>
    <t>S0896</t>
  </si>
  <si>
    <t>S0897</t>
  </si>
  <si>
    <t>S0898</t>
  </si>
  <si>
    <t>S0899</t>
  </si>
  <si>
    <t>S0900</t>
  </si>
  <si>
    <t>Sum of CGPA</t>
  </si>
  <si>
    <t>Row Labels</t>
  </si>
  <si>
    <t>Grand Total</t>
  </si>
  <si>
    <t>Column Labels</t>
  </si>
  <si>
    <t>Sum of Attendance_%</t>
  </si>
  <si>
    <t>(All)</t>
  </si>
  <si>
    <t>Average of CGPA</t>
  </si>
  <si>
    <t>Sum of Sleep_Hours</t>
  </si>
  <si>
    <t>Average of Sleep_Hours</t>
  </si>
  <si>
    <t>Average of Attendance_%</t>
  </si>
  <si>
    <t>Average of Social_Media_Usage_hrs</t>
  </si>
  <si>
    <t>Average of Career_Anxiety_Level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</si>
</sst>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xf numFmtId="9" fontId="0" fillId="0" borderId="0" xfId="1" applyFont="1"/>
    <xf numFmtId="2" fontId="0" fillId="0" borderId="0" xfId="0" applyNumberFormat="1"/>
    <xf numFmtId="164" fontId="0" fillId="0" borderId="0" xfId="0" applyNumberFormat="1"/>
    <xf numFmtId="1" fontId="0" fillId="0" borderId="0" xfId="0" applyNumberFormat="1"/>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
    <dxf>
      <numFmt numFmtId="164" formatCode="0.0"/>
    </dxf>
    <dxf>
      <numFmt numFmtId="164" formatCode="0.0"/>
    </dxf>
    <dxf>
      <numFmt numFmtId="1" formatCode="0"/>
    </dxf>
    <dxf>
      <numFmt numFmtId="2" formatCode="0.00"/>
    </dxf>
    <dxf>
      <numFmt numFmtId="2" formatCode="0.00"/>
    </dxf>
    <dxf>
      <numFmt numFmtId="0" formatCode="General"/>
    </dxf>
    <dxf>
      <numFmt numFmtId="13" formatCode="0%"/>
    </dxf>
  </dxfs>
  <tableStyles count="0" defaultTableStyle="TableStyleMedium2" defaultPivotStyle="PivotStyleLight16"/>
  <extLst>
    <ext xmlns:x14="http://schemas.microsoft.com/office/spreadsheetml/2009/9/main" uri="{46F421CA-312F-682f-3DD2-61675219B42D}">
      <x14:dxfs count="1">
        <dxf>
          <fill>
            <patternFill>
              <bgColor theme="2" tint="-0.499984740745262"/>
            </patternFill>
          </fill>
        </dxf>
      </x14:dxfs>
    </ex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[Education_Dataset.xlsx]Top scorer by gender from years!PivotTable3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scorer by gender from years'!$B$3:$B$4</c:f>
              <c:strCache>
                <c:ptCount val="1"/>
                <c:pt idx="0">
                  <c:v>4</c:v>
                </c:pt>
              </c:strCache>
            </c:strRef>
          </c:tx>
          <c:spPr>
            <a:solidFill>
              <a:schemeClr val="accent1"/>
            </a:solidFill>
            <a:ln>
              <a:noFill/>
            </a:ln>
            <a:effectLst/>
          </c:spPr>
          <c:invertIfNegative val="0"/>
          <c:cat>
            <c:strRef>
              <c:f>'Top scorer by gender from years'!$A$5:$A$15</c:f>
              <c:strCache>
                <c:ptCount val="10"/>
                <c:pt idx="0">
                  <c:v>S0049</c:v>
                </c:pt>
                <c:pt idx="1">
                  <c:v>S0220</c:v>
                </c:pt>
                <c:pt idx="2">
                  <c:v>S0230</c:v>
                </c:pt>
                <c:pt idx="3">
                  <c:v>S0274</c:v>
                </c:pt>
                <c:pt idx="4">
                  <c:v>S0457</c:v>
                </c:pt>
                <c:pt idx="5">
                  <c:v>S0537</c:v>
                </c:pt>
                <c:pt idx="6">
                  <c:v>S0570</c:v>
                </c:pt>
                <c:pt idx="7">
                  <c:v>S0643</c:v>
                </c:pt>
                <c:pt idx="8">
                  <c:v>S0681</c:v>
                </c:pt>
                <c:pt idx="9">
                  <c:v>S0831</c:v>
                </c:pt>
              </c:strCache>
            </c:strRef>
          </c:cat>
          <c:val>
            <c:numRef>
              <c:f>'Top scorer by gender from years'!$B$5:$B$15</c:f>
              <c:numCache>
                <c:formatCode>General</c:formatCode>
                <c:ptCount val="10"/>
              </c:numCache>
            </c:numRef>
          </c:val>
          <c:extLst>
            <c:ext xmlns:c16="http://schemas.microsoft.com/office/drawing/2014/chart" uri="{C3380CC4-5D6E-409C-BE32-E72D297353CC}">
              <c16:uniqueId val="{00000000-B28D-404D-B56C-A7DC24D63909}"/>
            </c:ext>
          </c:extLst>
        </c:ser>
        <c:ser>
          <c:idx val="1"/>
          <c:order val="1"/>
          <c:tx>
            <c:strRef>
              <c:f>'Top scorer by gender from years'!$C$3:$C$4</c:f>
              <c:strCache>
                <c:ptCount val="1"/>
                <c:pt idx="0">
                  <c:v>3</c:v>
                </c:pt>
              </c:strCache>
            </c:strRef>
          </c:tx>
          <c:spPr>
            <a:solidFill>
              <a:schemeClr val="accent2"/>
            </a:solidFill>
            <a:ln>
              <a:noFill/>
            </a:ln>
            <a:effectLst/>
          </c:spPr>
          <c:invertIfNegative val="0"/>
          <c:cat>
            <c:strRef>
              <c:f>'Top scorer by gender from years'!$A$5:$A$15</c:f>
              <c:strCache>
                <c:ptCount val="10"/>
                <c:pt idx="0">
                  <c:v>S0049</c:v>
                </c:pt>
                <c:pt idx="1">
                  <c:v>S0220</c:v>
                </c:pt>
                <c:pt idx="2">
                  <c:v>S0230</c:v>
                </c:pt>
                <c:pt idx="3">
                  <c:v>S0274</c:v>
                </c:pt>
                <c:pt idx="4">
                  <c:v>S0457</c:v>
                </c:pt>
                <c:pt idx="5">
                  <c:v>S0537</c:v>
                </c:pt>
                <c:pt idx="6">
                  <c:v>S0570</c:v>
                </c:pt>
                <c:pt idx="7">
                  <c:v>S0643</c:v>
                </c:pt>
                <c:pt idx="8">
                  <c:v>S0681</c:v>
                </c:pt>
                <c:pt idx="9">
                  <c:v>S0831</c:v>
                </c:pt>
              </c:strCache>
            </c:strRef>
          </c:cat>
          <c:val>
            <c:numRef>
              <c:f>'Top scorer by gender from years'!$C$5:$C$15</c:f>
              <c:numCache>
                <c:formatCode>General</c:formatCode>
                <c:ptCount val="10"/>
                <c:pt idx="7">
                  <c:v>10</c:v>
                </c:pt>
                <c:pt idx="8">
                  <c:v>9.94</c:v>
                </c:pt>
                <c:pt idx="9">
                  <c:v>9.94</c:v>
                </c:pt>
              </c:numCache>
            </c:numRef>
          </c:val>
          <c:extLst>
            <c:ext xmlns:c16="http://schemas.microsoft.com/office/drawing/2014/chart" uri="{C3380CC4-5D6E-409C-BE32-E72D297353CC}">
              <c16:uniqueId val="{00000001-B28D-404D-B56C-A7DC24D63909}"/>
            </c:ext>
          </c:extLst>
        </c:ser>
        <c:ser>
          <c:idx val="2"/>
          <c:order val="2"/>
          <c:tx>
            <c:strRef>
              <c:f>'Top scorer by gender from years'!$D$3:$D$4</c:f>
              <c:strCache>
                <c:ptCount val="1"/>
                <c:pt idx="0">
                  <c:v>2</c:v>
                </c:pt>
              </c:strCache>
            </c:strRef>
          </c:tx>
          <c:spPr>
            <a:solidFill>
              <a:schemeClr val="accent3"/>
            </a:solidFill>
            <a:ln>
              <a:noFill/>
            </a:ln>
            <a:effectLst/>
          </c:spPr>
          <c:invertIfNegative val="0"/>
          <c:cat>
            <c:strRef>
              <c:f>'Top scorer by gender from years'!$A$5:$A$15</c:f>
              <c:strCache>
                <c:ptCount val="10"/>
                <c:pt idx="0">
                  <c:v>S0049</c:v>
                </c:pt>
                <c:pt idx="1">
                  <c:v>S0220</c:v>
                </c:pt>
                <c:pt idx="2">
                  <c:v>S0230</c:v>
                </c:pt>
                <c:pt idx="3">
                  <c:v>S0274</c:v>
                </c:pt>
                <c:pt idx="4">
                  <c:v>S0457</c:v>
                </c:pt>
                <c:pt idx="5">
                  <c:v>S0537</c:v>
                </c:pt>
                <c:pt idx="6">
                  <c:v>S0570</c:v>
                </c:pt>
                <c:pt idx="7">
                  <c:v>S0643</c:v>
                </c:pt>
                <c:pt idx="8">
                  <c:v>S0681</c:v>
                </c:pt>
                <c:pt idx="9">
                  <c:v>S0831</c:v>
                </c:pt>
              </c:strCache>
            </c:strRef>
          </c:cat>
          <c:val>
            <c:numRef>
              <c:f>'Top scorer by gender from years'!$D$5:$D$15</c:f>
              <c:numCache>
                <c:formatCode>General</c:formatCode>
                <c:ptCount val="10"/>
                <c:pt idx="5">
                  <c:v>9.99</c:v>
                </c:pt>
              </c:numCache>
            </c:numRef>
          </c:val>
          <c:extLst>
            <c:ext xmlns:c16="http://schemas.microsoft.com/office/drawing/2014/chart" uri="{C3380CC4-5D6E-409C-BE32-E72D297353CC}">
              <c16:uniqueId val="{00000002-B28D-404D-B56C-A7DC24D63909}"/>
            </c:ext>
          </c:extLst>
        </c:ser>
        <c:ser>
          <c:idx val="3"/>
          <c:order val="3"/>
          <c:tx>
            <c:strRef>
              <c:f>'Top scorer by gender from years'!$E$3:$E$4</c:f>
              <c:strCache>
                <c:ptCount val="1"/>
                <c:pt idx="0">
                  <c:v>1</c:v>
                </c:pt>
              </c:strCache>
            </c:strRef>
          </c:tx>
          <c:spPr>
            <a:solidFill>
              <a:schemeClr val="accent4"/>
            </a:solidFill>
            <a:ln>
              <a:noFill/>
            </a:ln>
            <a:effectLst/>
          </c:spPr>
          <c:invertIfNegative val="0"/>
          <c:cat>
            <c:strRef>
              <c:f>'Top scorer by gender from years'!$A$5:$A$15</c:f>
              <c:strCache>
                <c:ptCount val="10"/>
                <c:pt idx="0">
                  <c:v>S0049</c:v>
                </c:pt>
                <c:pt idx="1">
                  <c:v>S0220</c:v>
                </c:pt>
                <c:pt idx="2">
                  <c:v>S0230</c:v>
                </c:pt>
                <c:pt idx="3">
                  <c:v>S0274</c:v>
                </c:pt>
                <c:pt idx="4">
                  <c:v>S0457</c:v>
                </c:pt>
                <c:pt idx="5">
                  <c:v>S0537</c:v>
                </c:pt>
                <c:pt idx="6">
                  <c:v>S0570</c:v>
                </c:pt>
                <c:pt idx="7">
                  <c:v>S0643</c:v>
                </c:pt>
                <c:pt idx="8">
                  <c:v>S0681</c:v>
                </c:pt>
                <c:pt idx="9">
                  <c:v>S0831</c:v>
                </c:pt>
              </c:strCache>
            </c:strRef>
          </c:cat>
          <c:val>
            <c:numRef>
              <c:f>'Top scorer by gender from years'!$E$5:$E$15</c:f>
              <c:numCache>
                <c:formatCode>General</c:formatCode>
                <c:ptCount val="10"/>
                <c:pt idx="0">
                  <c:v>9.94</c:v>
                </c:pt>
                <c:pt idx="1">
                  <c:v>9.9499999999999993</c:v>
                </c:pt>
                <c:pt idx="2">
                  <c:v>9.9600000000000009</c:v>
                </c:pt>
                <c:pt idx="3">
                  <c:v>9.9700000000000006</c:v>
                </c:pt>
                <c:pt idx="4">
                  <c:v>9.9499999999999993</c:v>
                </c:pt>
                <c:pt idx="6">
                  <c:v>9.99</c:v>
                </c:pt>
              </c:numCache>
            </c:numRef>
          </c:val>
          <c:extLst>
            <c:ext xmlns:c16="http://schemas.microsoft.com/office/drawing/2014/chart" uri="{C3380CC4-5D6E-409C-BE32-E72D297353CC}">
              <c16:uniqueId val="{00000005-B28D-404D-B56C-A7DC24D63909}"/>
            </c:ext>
          </c:extLst>
        </c:ser>
        <c:dLbls>
          <c:showLegendKey val="0"/>
          <c:showVal val="0"/>
          <c:showCatName val="0"/>
          <c:showSerName val="0"/>
          <c:showPercent val="0"/>
          <c:showBubbleSize val="0"/>
        </c:dLbls>
        <c:gapWidth val="182"/>
        <c:axId val="827495551"/>
        <c:axId val="827506111"/>
      </c:barChart>
      <c:catAx>
        <c:axId val="82749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06111"/>
        <c:crosses val="autoZero"/>
        <c:auto val="1"/>
        <c:lblAlgn val="ctr"/>
        <c:lblOffset val="100"/>
        <c:noMultiLvlLbl val="0"/>
      </c:catAx>
      <c:valAx>
        <c:axId val="827506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49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[Education_Dataset.xlsx]Attandance by year!PivotTable3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'Attandance by year'!$B$3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83-4CCB-B11F-BEC61CB22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83-4CCB-B11F-BEC61CB222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83-4CCB-B11F-BEC61CB222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83-4CCB-B11F-BEC61CB222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'Attandance by year'!$A$4:$A$8</c:f>
              <c:strCache>
                <c:ptCount val="4"/>
                <c:pt idx="0">
                  <c:v>1</c:v>
                </c:pt>
                <c:pt idx="1">
                  <c:v>2</c:v>
                </c:pt>
                <c:pt idx="2">
                  <c:v>3</c:v>
                </c:pt>
                <c:pt idx="3">
                  <c:v>4</c:v>
                </c:pt>
              </c:strCache>
            </c:strRef>
          </c:cat>
          <c:val>
            <c:numRef>
              <c:f>'Attandance by year'!$B$4:$B$8</c:f>
              <c:numCache>
                <c:formatCode>General</c:formatCode>
                <c:ptCount val="4"/>
                <c:pt idx="0">
                  <c:v>25396.69999999999</c:v>
                </c:pt>
                <c:pt idx="1">
                  <c:v>24442.899999999998</c:v>
                </c:pt>
                <c:pt idx="2">
                  <c:v>15503.000000000005</c:v>
                </c:pt>
                <c:pt idx="3">
                  <c:v>1417</c:v>
                </c:pt>
              </c:numCache>
            </c:numRef>
          </c:val>
          <c:extLst>
            <c:ext xmlns:c16="http://schemas.microsoft.com/office/drawing/2014/chart" uri="{C3380CC4-5D6E-409C-BE32-E72D297353CC}">
              <c16:uniqueId val="{00000000-AE55-4DE1-BD8B-2206DB015E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[Education_Dataset.xlsx]cgpa by field of study by year!PivotTable3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'cgpa by field of study by year'!$B$3</c:f>
              <c:strCache>
                <c:ptCount val="1"/>
                <c:pt idx="0">
                  <c:v>Total</c:v>
                </c:pt>
              </c:strCache>
            </c:strRef>
          </c:tx>
          <c:spPr>
            <a:solidFill>
              <a:schemeClr val="accent1"/>
            </a:solidFill>
            <a:ln>
              <a:noFill/>
            </a:ln>
            <a:effectLst/>
          </c:spPr>
          <c:invertIfNegative val="0"/>
          <c:cat>
            <c:multiLvlStrRef>
              <c:f>'cgpa by field of study by year'!$A$4:$A$38</c:f>
              <c:multiLvlStrCache>
                <c:ptCount val="25"/>
                <c:lvl>
                  <c:pt idx="0">
                    <c:v>1</c:v>
                  </c:pt>
                  <c:pt idx="1">
                    <c:v>2</c:v>
                  </c:pt>
                  <c:pt idx="2">
                    <c:v>3</c:v>
                  </c:pt>
                  <c:pt idx="3">
                    <c:v>1</c:v>
                  </c:pt>
                  <c:pt idx="4">
                    <c:v>2</c:v>
                  </c:pt>
                  <c:pt idx="5">
                    <c:v>3</c:v>
                  </c:pt>
                  <c:pt idx="6">
                    <c:v>1</c:v>
                  </c:pt>
                  <c:pt idx="7">
                    <c:v>2</c:v>
                  </c:pt>
                  <c:pt idx="8">
                    <c:v>3</c:v>
                  </c:pt>
                  <c:pt idx="9">
                    <c:v>4</c:v>
                  </c:pt>
                  <c:pt idx="10">
                    <c:v>1</c:v>
                  </c:pt>
                  <c:pt idx="11">
                    <c:v>2</c:v>
                  </c:pt>
                  <c:pt idx="12">
                    <c:v>3</c:v>
                  </c:pt>
                  <c:pt idx="13">
                    <c:v>1</c:v>
                  </c:pt>
                  <c:pt idx="14">
                    <c:v>2</c:v>
                  </c:pt>
                  <c:pt idx="15">
                    <c:v>1</c:v>
                  </c:pt>
                  <c:pt idx="16">
                    <c:v>2</c:v>
                  </c:pt>
                  <c:pt idx="17">
                    <c:v>3</c:v>
                  </c:pt>
                  <c:pt idx="18">
                    <c:v>1</c:v>
                  </c:pt>
                  <c:pt idx="19">
                    <c:v>2</c:v>
                  </c:pt>
                  <c:pt idx="20">
                    <c:v>1</c:v>
                  </c:pt>
                  <c:pt idx="21">
                    <c:v>2</c:v>
                  </c:pt>
                  <c:pt idx="22">
                    <c:v>1</c:v>
                  </c:pt>
                  <c:pt idx="23">
                    <c:v>2</c:v>
                  </c:pt>
                  <c:pt idx="24">
                    <c:v>3</c:v>
                  </c:pt>
                </c:lvl>
                <c:lvl>
                  <c:pt idx="0">
                    <c:v>BSc CS</c:v>
                  </c:pt>
                  <c:pt idx="3">
                    <c:v>BBA</c:v>
                  </c:pt>
                  <c:pt idx="6">
                    <c:v>BTech</c:v>
                  </c:pt>
                  <c:pt idx="10">
                    <c:v>BCA</c:v>
                  </c:pt>
                  <c:pt idx="13">
                    <c:v>MCA</c:v>
                  </c:pt>
                  <c:pt idx="15">
                    <c:v>BA</c:v>
                  </c:pt>
                  <c:pt idx="18">
                    <c:v>MTech</c:v>
                  </c:pt>
                  <c:pt idx="20">
                    <c:v>MBA</c:v>
                  </c:pt>
                  <c:pt idx="22">
                    <c:v>BCom</c:v>
                  </c:pt>
                </c:lvl>
              </c:multiLvlStrCache>
            </c:multiLvlStrRef>
          </c:cat>
          <c:val>
            <c:numRef>
              <c:f>'cgpa by field of study by year'!$B$4:$B$38</c:f>
              <c:numCache>
                <c:formatCode>0.00</c:formatCode>
                <c:ptCount val="25"/>
                <c:pt idx="0">
                  <c:v>7.3007142857142853</c:v>
                </c:pt>
                <c:pt idx="1">
                  <c:v>7.450263157894736</c:v>
                </c:pt>
                <c:pt idx="2">
                  <c:v>6.7459375000000019</c:v>
                </c:pt>
                <c:pt idx="3">
                  <c:v>7.0185185185185164</c:v>
                </c:pt>
                <c:pt idx="4">
                  <c:v>7.2023529411764722</c:v>
                </c:pt>
                <c:pt idx="5">
                  <c:v>7.1062500000000002</c:v>
                </c:pt>
                <c:pt idx="6">
                  <c:v>7.0400000000000027</c:v>
                </c:pt>
                <c:pt idx="7">
                  <c:v>7.0094117647058809</c:v>
                </c:pt>
                <c:pt idx="8">
                  <c:v>7.2861290322580654</c:v>
                </c:pt>
                <c:pt idx="9">
                  <c:v>6.9061111111111124</c:v>
                </c:pt>
                <c:pt idx="10">
                  <c:v>6.8703125000000016</c:v>
                </c:pt>
                <c:pt idx="11">
                  <c:v>6.5224137931034498</c:v>
                </c:pt>
                <c:pt idx="12">
                  <c:v>7.5666666666666673</c:v>
                </c:pt>
                <c:pt idx="13">
                  <c:v>6.8833898305084755</c:v>
                </c:pt>
                <c:pt idx="14">
                  <c:v>7.0188679245283021</c:v>
                </c:pt>
                <c:pt idx="15">
                  <c:v>7.4070967741935494</c:v>
                </c:pt>
                <c:pt idx="16">
                  <c:v>6.555161290322582</c:v>
                </c:pt>
                <c:pt idx="17">
                  <c:v>6.7854545454545452</c:v>
                </c:pt>
                <c:pt idx="18">
                  <c:v>6.7730000000000006</c:v>
                </c:pt>
                <c:pt idx="19">
                  <c:v>7.0287755102040794</c:v>
                </c:pt>
                <c:pt idx="20">
                  <c:v>6.9974468085106407</c:v>
                </c:pt>
                <c:pt idx="21">
                  <c:v>6.7711111111111135</c:v>
                </c:pt>
                <c:pt idx="22">
                  <c:v>6.6997560975609751</c:v>
                </c:pt>
                <c:pt idx="23">
                  <c:v>6.6149999999999993</c:v>
                </c:pt>
                <c:pt idx="24">
                  <c:v>7.1709756097560975</c:v>
                </c:pt>
              </c:numCache>
            </c:numRef>
          </c:val>
          <c:extLst>
            <c:ext xmlns:c16="http://schemas.microsoft.com/office/drawing/2014/chart" uri="{C3380CC4-5D6E-409C-BE32-E72D297353CC}">
              <c16:uniqueId val="{00000000-844B-4073-9553-4D1D708D7BBD}"/>
            </c:ext>
          </c:extLst>
        </c:ser>
        <c:dLbls>
          <c:showLegendKey val="0"/>
          <c:showVal val="0"/>
          <c:showCatName val="0"/>
          <c:showSerName val="0"/>
          <c:showPercent val="0"/>
          <c:showBubbleSize val="0"/>
        </c:dLbls>
        <c:gapWidth val="219"/>
        <c:overlap val="-27"/>
        <c:axId val="827529631"/>
        <c:axId val="827528191"/>
      </c:barChart>
      <c:catAx>
        <c:axId val="82752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28191"/>
        <c:crosses val="autoZero"/>
        <c:auto val="1"/>
        <c:lblAlgn val="ctr"/>
        <c:lblOffset val="100"/>
        <c:noMultiLvlLbl val="0"/>
      </c:catAx>
      <c:valAx>
        <c:axId val="827528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2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[Education_Dataset.xlsx]club participation by attandanc!PivotTable3</c:name>
    <c:fmtId val="9"/>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8960478341764908E-2"/>
              <c:y val="-5.5319150480793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5046021791134635E-2"/>
              <c:y val="5.9929079687526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3394695721512831E-2"/>
              <c:y val="-5.531915048079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7828913101260597E-2"/>
              <c:y val="5.9929079687526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452626096201704E-2"/>
              <c:y val="-1.3829787620198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8440717512647365E-2"/>
              <c:y val="1.8439716826931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3486739303782458E-3"/>
              <c:y val="-7.3758867307725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5657826202521347E-2"/>
              <c:y val="-4.60992920673281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5657826202521299E-2"/>
              <c:y val="7.3758867307725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782891310126065E-3"/>
              <c:y val="5.531915048079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'club participation by attandanc'!$B$3</c:f>
              <c:strCache>
                <c:ptCount val="1"/>
                <c:pt idx="0">
                  <c:v>Sum of Attendance_%</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3718-4DD5-838F-AA63793ACC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9F-4D20-B8A3-944C809E5E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9F-4D20-B8A3-944C809E5E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9F-4D20-B8A3-944C809E5EA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9F-4D20-B8A3-944C809E5EA2}"/>
              </c:ext>
            </c:extLst>
          </c:dPt>
          <c:dLbls>
            <c:dLbl>
              <c:idx val="0"/>
              <c:layout>
                <c:manualLayout>
                  <c:x val="2.7828913101260597E-2"/>
                  <c:y val="5.992907968752665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718-4DD5-838F-AA63793ACC38}"/>
                </c:ext>
              </c:extLst>
            </c:dLbl>
            <c:dLbl>
              <c:idx val="1"/>
              <c:layout>
                <c:manualLayout>
                  <c:x val="4.452626096201704E-2"/>
                  <c:y val="-1.38297876201985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99F-4D20-B8A3-944C809E5EA2}"/>
                </c:ext>
              </c:extLst>
            </c:dLbl>
            <c:dLbl>
              <c:idx val="2"/>
              <c:layout>
                <c:manualLayout>
                  <c:x val="-5.5657826202521347E-2"/>
                  <c:y val="-4.609929206732819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99F-4D20-B8A3-944C809E5EA2}"/>
                </c:ext>
              </c:extLst>
            </c:dLbl>
            <c:dLbl>
              <c:idx val="3"/>
              <c:layout>
                <c:manualLayout>
                  <c:x val="-2.5046021791134635E-2"/>
                  <c:y val="5.99290796875266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99F-4D20-B8A3-944C809E5EA2}"/>
                </c:ext>
              </c:extLst>
            </c:dLbl>
            <c:dLbl>
              <c:idx val="4"/>
              <c:layout>
                <c:manualLayout>
                  <c:x val="-8.3486739303782458E-3"/>
                  <c:y val="-7.375886730772519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99F-4D20-B8A3-944C809E5E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'club participation by attandanc'!$A$4:$A$9</c:f>
              <c:strCache>
                <c:ptCount val="5"/>
                <c:pt idx="0">
                  <c:v>Tech</c:v>
                </c:pt>
                <c:pt idx="1">
                  <c:v>Sports</c:v>
                </c:pt>
                <c:pt idx="2">
                  <c:v>Literature</c:v>
                </c:pt>
                <c:pt idx="3">
                  <c:v>Cultural</c:v>
                </c:pt>
                <c:pt idx="4">
                  <c:v>None</c:v>
                </c:pt>
              </c:strCache>
            </c:strRef>
          </c:cat>
          <c:val>
            <c:numRef>
              <c:f>'club participation by attandanc'!$B$4:$B$9</c:f>
              <c:numCache>
                <c:formatCode>0</c:formatCode>
                <c:ptCount val="5"/>
                <c:pt idx="0">
                  <c:v>14232.100000000011</c:v>
                </c:pt>
                <c:pt idx="1">
                  <c:v>13757.699999999999</c:v>
                </c:pt>
                <c:pt idx="2">
                  <c:v>13646.300000000007</c:v>
                </c:pt>
                <c:pt idx="3">
                  <c:v>12925.699999999999</c:v>
                </c:pt>
                <c:pt idx="4">
                  <c:v>12197.799999999992</c:v>
                </c:pt>
              </c:numCache>
            </c:numRef>
          </c:val>
          <c:extLst>
            <c:ext xmlns:c16="http://schemas.microsoft.com/office/drawing/2014/chart" uri="{C3380CC4-5D6E-409C-BE32-E72D297353CC}">
              <c16:uniqueId val="{00000000-3718-4DD5-838F-AA63793ACC38}"/>
            </c:ext>
          </c:extLst>
        </c:ser>
        <c:ser>
          <c:idx val="1"/>
          <c:order val="1"/>
          <c:tx>
            <c:strRef>
              <c:f>'club participation by attandanc'!$C$3</c:f>
              <c:strCache>
                <c:ptCount val="1"/>
                <c:pt idx="0">
                  <c:v>Average of CGPA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718-4DD5-838F-AA63793ACC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B99F-4D20-B8A3-944C809E5E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B99F-4D20-B8A3-944C809E5E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B99F-4D20-B8A3-944C809E5EA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B99F-4D20-B8A3-944C809E5EA2}"/>
              </c:ext>
            </c:extLst>
          </c:dPt>
          <c:dLbls>
            <c:dLbl>
              <c:idx val="0"/>
              <c:layout>
                <c:manualLayout>
                  <c:x val="-3.3394695721512831E-2"/>
                  <c:y val="-5.531915048079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18-4DD5-838F-AA63793ACC38}"/>
                </c:ext>
              </c:extLst>
            </c:dLbl>
            <c:dLbl>
              <c:idx val="1"/>
              <c:layout>
                <c:manualLayout>
                  <c:x val="-5.8440717512647365E-2"/>
                  <c:y val="1.84397168269312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99F-4D20-B8A3-944C809E5EA2}"/>
                </c:ext>
              </c:extLst>
            </c:dLbl>
            <c:dLbl>
              <c:idx val="2"/>
              <c:layout>
                <c:manualLayout>
                  <c:x val="5.5657826202521299E-2"/>
                  <c:y val="7.3758867307725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99F-4D20-B8A3-944C809E5EA2}"/>
                </c:ext>
              </c:extLst>
            </c:dLbl>
            <c:dLbl>
              <c:idx val="3"/>
              <c:layout>
                <c:manualLayout>
                  <c:x val="3.8960478341764908E-2"/>
                  <c:y val="-5.53191504807938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99F-4D20-B8A3-944C809E5EA2}"/>
                </c:ext>
              </c:extLst>
            </c:dLbl>
            <c:dLbl>
              <c:idx val="4"/>
              <c:layout>
                <c:manualLayout>
                  <c:x val="2.782891310126065E-3"/>
                  <c:y val="5.531915048079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99F-4D20-B8A3-944C809E5E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'club participation by attandanc'!$A$4:$A$9</c:f>
              <c:strCache>
                <c:ptCount val="5"/>
                <c:pt idx="0">
                  <c:v>Tech</c:v>
                </c:pt>
                <c:pt idx="1">
                  <c:v>Sports</c:v>
                </c:pt>
                <c:pt idx="2">
                  <c:v>Literature</c:v>
                </c:pt>
                <c:pt idx="3">
                  <c:v>Cultural</c:v>
                </c:pt>
                <c:pt idx="4">
                  <c:v>None</c:v>
                </c:pt>
              </c:strCache>
            </c:strRef>
          </c:cat>
          <c:val>
            <c:numRef>
              <c:f>'club participation by attandanc'!$C$4:$C$9</c:f>
              <c:numCache>
                <c:formatCode>0.00</c:formatCode>
                <c:ptCount val="5"/>
                <c:pt idx="0">
                  <c:v>6.8177435897435901</c:v>
                </c:pt>
                <c:pt idx="1">
                  <c:v>7.1267582417582398</c:v>
                </c:pt>
                <c:pt idx="2">
                  <c:v>6.8059016393442624</c:v>
                </c:pt>
                <c:pt idx="3">
                  <c:v>7.0895375722543337</c:v>
                </c:pt>
                <c:pt idx="4">
                  <c:v>7.1299382716049404</c:v>
                </c:pt>
              </c:numCache>
            </c:numRef>
          </c:val>
          <c:extLst>
            <c:ext xmlns:c16="http://schemas.microsoft.com/office/drawing/2014/chart" uri="{C3380CC4-5D6E-409C-BE32-E72D297353CC}">
              <c16:uniqueId val="{00000001-3718-4DD5-838F-AA63793ACC3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[Education_Dataset.xlsx]living type by sleep!PivotTable3</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'living type by sleep'!$B$3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7B-448E-9D16-237C31574C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7B-448E-9D16-237C31574C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7B-448E-9D16-237C31574C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'living type by sleep'!$A$4:$A$7</c:f>
              <c:strCache>
                <c:ptCount val="3"/>
                <c:pt idx="0">
                  <c:v>Day Scholar</c:v>
                </c:pt>
                <c:pt idx="1">
                  <c:v>Hostel</c:v>
                </c:pt>
                <c:pt idx="2">
                  <c:v>Room</c:v>
                </c:pt>
              </c:strCache>
            </c:strRef>
          </c:cat>
          <c:val>
            <c:numRef>
              <c:f>'living type by sleep'!$B$4:$B$7</c:f>
              <c:numCache>
                <c:formatCode>0.0</c:formatCode>
                <c:ptCount val="3"/>
                <c:pt idx="0">
                  <c:v>2108.4999999999995</c:v>
                </c:pt>
                <c:pt idx="1">
                  <c:v>1871.3999999999992</c:v>
                </c:pt>
                <c:pt idx="2">
                  <c:v>2076.4999999999995</c:v>
                </c:pt>
              </c:numCache>
            </c:numRef>
          </c:val>
          <c:extLst>
            <c:ext xmlns:c16="http://schemas.microsoft.com/office/drawing/2014/chart" uri="{C3380CC4-5D6E-409C-BE32-E72D297353CC}">
              <c16:uniqueId val="{00000000-501A-4935-9B56-540384371C2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[Education_Dataset.xlsx]living type by sleep!PivotTable3</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0.2128623188405797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pieChart>
        <c:varyColors val="1"/>
        <c:ser>
          <c:idx val="0"/>
          <c:order val="0"/>
          <c:tx>
            <c:strRef>
              <c:f>'living type by sleep'!$B$3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68-4C59-8733-2FE56D2735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68-4C59-8733-2FE56D2735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68-4C59-8733-2FE56D273520}"/>
              </c:ext>
            </c:extLst>
          </c:dPt>
          <c:dLbls>
            <c:dLbl>
              <c:idx val="1"/>
              <c:layout>
                <c:manualLayout>
                  <c:x val="-0.21286231884057974"/>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68-4C59-8733-2FE56D2735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'living type by sleep'!$A$4:$A$7</c:f>
              <c:strCache>
                <c:ptCount val="3"/>
                <c:pt idx="0">
                  <c:v>Day Scholar</c:v>
                </c:pt>
                <c:pt idx="1">
                  <c:v>Hostel</c:v>
                </c:pt>
                <c:pt idx="2">
                  <c:v>Room</c:v>
                </c:pt>
              </c:strCache>
            </c:strRef>
          </c:cat>
          <c:val>
            <c:numRef>
              <c:f>'living type by sleep'!$B$4:$B$7</c:f>
              <c:numCache>
                <c:formatCode>0.0</c:formatCode>
                <c:ptCount val="3"/>
                <c:pt idx="0">
                  <c:v>2108.4999999999995</c:v>
                </c:pt>
                <c:pt idx="1">
                  <c:v>1871.3999999999992</c:v>
                </c:pt>
                <c:pt idx="2">
                  <c:v>2076.4999999999995</c:v>
                </c:pt>
              </c:numCache>
            </c:numRef>
          </c:val>
          <c:extLst>
            <c:ext xmlns:c16="http://schemas.microsoft.com/office/drawing/2014/chart" uri="{C3380CC4-5D6E-409C-BE32-E72D297353CC}">
              <c16:uniqueId val="{00000006-F168-4C59-8733-2FE56D27352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[Education_Dataset.xlsx]club participation by attandanc!PivotTable3</c:name>
    <c:fmtId val="1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3.8960478341764908E-2"/>
              <c:y val="-5.5319150480793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2.5046021791134635E-2"/>
              <c:y val="5.9929079687526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3.3394695721512831E-2"/>
              <c:y val="-5.531915048079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2.7828913101260597E-2"/>
              <c:y val="5.9929079687526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dLbl>
          <c:idx val="0"/>
          <c:layout>
            <c:manualLayout>
              <c:x val="4.452626096201704E-2"/>
              <c:y val="-1.3829787620198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dLbl>
          <c:idx val="0"/>
          <c:layout>
            <c:manualLayout>
              <c:x val="-5.8440717512647365E-2"/>
              <c:y val="1.8439716826931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8.3486739303782458E-3"/>
              <c:y val="-7.3758867307725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5657826202521347E-2"/>
              <c:y val="-4.60992920673281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5657826202521299E-2"/>
              <c:y val="7.3758867307725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2.782891310126065E-3"/>
              <c:y val="5.531915048079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5657826202521347E-2"/>
              <c:y val="-4.60992920673281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2.7828913101260597E-2"/>
              <c:y val="5.9929079687526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2.5046021791134635E-2"/>
              <c:y val="5.9929079687526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4.452626096201704E-2"/>
              <c:y val="-1.3829787620198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8.3486739303782458E-3"/>
              <c:y val="-7.3758867307725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5.5657826202521299E-2"/>
              <c:y val="7.3758867307725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3.3394695721512831E-2"/>
              <c:y val="-5.531915048079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3.8960478341764908E-2"/>
              <c:y val="-5.5319150480793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5.8440717512647365E-2"/>
              <c:y val="1.8439716826931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2.782891310126065E-3"/>
              <c:y val="5.531915048079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8599421557366841"/>
              <c:y val="-8.5154992243070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50851749858157"/>
              <c:y val="0.13427831279454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22276130246460846"/>
              <c:y val="9.71035916049526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4000802623749359"/>
              <c:y val="-4.4808711178760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2697784481684959"/>
              <c:y val="-0.11712915532398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5.5657826202521299E-2"/>
              <c:y val="7.3758867307725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3.3394695721512831E-2"/>
              <c:y val="-5.531915048079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3.8960478341764908E-2"/>
              <c:y val="-5.5319150480793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5.8440717512647365E-2"/>
              <c:y val="1.8439716826931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2.782891310126065E-3"/>
              <c:y val="5.531915048079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08207519754232"/>
          <c:y val="0.13065353354994194"/>
          <c:w val="0.52383584960491536"/>
          <c:h val="0.73869293290011606"/>
        </c:manualLayout>
      </c:layout>
      <c:doughnutChart>
        <c:varyColors val="1"/>
        <c:ser>
          <c:idx val="0"/>
          <c:order val="0"/>
          <c:tx>
            <c:strRef>
              <c:f>'club participation by attandanc'!$B$3</c:f>
              <c:strCache>
                <c:ptCount val="1"/>
                <c:pt idx="0">
                  <c:v>Sum of Attendance_%</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82-4283-9EA3-ABBBE4D764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82-4283-9EA3-ABBBE4D764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82-4283-9EA3-ABBBE4D764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82-4283-9EA3-ABBBE4D764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82-4283-9EA3-ABBBE4D76442}"/>
              </c:ext>
            </c:extLst>
          </c:dPt>
          <c:dLbls>
            <c:dLbl>
              <c:idx val="0"/>
              <c:layout>
                <c:manualLayout>
                  <c:x val="0.150851749858157"/>
                  <c:y val="0.134278312794543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82-4283-9EA3-ABBBE4D76442}"/>
                </c:ext>
              </c:extLst>
            </c:dLbl>
            <c:dLbl>
              <c:idx val="1"/>
              <c:layout>
                <c:manualLayout>
                  <c:x val="-0.14000802623749359"/>
                  <c:y val="-4.48087111787606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82-4283-9EA3-ABBBE4D76442}"/>
                </c:ext>
              </c:extLst>
            </c:dLbl>
            <c:dLbl>
              <c:idx val="2"/>
              <c:layout>
                <c:manualLayout>
                  <c:x val="0.18599421557366841"/>
                  <c:y val="-8.51549922430700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C82-4283-9EA3-ABBBE4D76442}"/>
                </c:ext>
              </c:extLst>
            </c:dLbl>
            <c:dLbl>
              <c:idx val="3"/>
              <c:layout>
                <c:manualLayout>
                  <c:x val="-0.22276130246460846"/>
                  <c:y val="9.71035916049526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C82-4283-9EA3-ABBBE4D76442}"/>
                </c:ext>
              </c:extLst>
            </c:dLbl>
            <c:dLbl>
              <c:idx val="4"/>
              <c:layout>
                <c:manualLayout>
                  <c:x val="-0.12697784481684959"/>
                  <c:y val="-0.1171291553239859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C82-4283-9EA3-ABBBE4D764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'club participation by attandanc'!$A$4:$A$9</c:f>
              <c:strCache>
                <c:ptCount val="5"/>
                <c:pt idx="0">
                  <c:v>Tech</c:v>
                </c:pt>
                <c:pt idx="1">
                  <c:v>Sports</c:v>
                </c:pt>
                <c:pt idx="2">
                  <c:v>Literature</c:v>
                </c:pt>
                <c:pt idx="3">
                  <c:v>Cultural</c:v>
                </c:pt>
                <c:pt idx="4">
                  <c:v>None</c:v>
                </c:pt>
              </c:strCache>
            </c:strRef>
          </c:cat>
          <c:val>
            <c:numRef>
              <c:f>'club participation by attandanc'!$B$4:$B$9</c:f>
              <c:numCache>
                <c:formatCode>0</c:formatCode>
                <c:ptCount val="5"/>
                <c:pt idx="0">
                  <c:v>14232.100000000011</c:v>
                </c:pt>
                <c:pt idx="1">
                  <c:v>13757.699999999999</c:v>
                </c:pt>
                <c:pt idx="2">
                  <c:v>13646.300000000007</c:v>
                </c:pt>
                <c:pt idx="3">
                  <c:v>12925.699999999999</c:v>
                </c:pt>
                <c:pt idx="4">
                  <c:v>12197.799999999992</c:v>
                </c:pt>
              </c:numCache>
            </c:numRef>
          </c:val>
          <c:extLst>
            <c:ext xmlns:c16="http://schemas.microsoft.com/office/drawing/2014/chart" uri="{C3380CC4-5D6E-409C-BE32-E72D297353CC}">
              <c16:uniqueId val="{0000000A-DC82-4283-9EA3-ABBBE4D76442}"/>
            </c:ext>
          </c:extLst>
        </c:ser>
        <c:ser>
          <c:idx val="1"/>
          <c:order val="1"/>
          <c:tx>
            <c:strRef>
              <c:f>'club participation by attandanc'!$C$3</c:f>
              <c:strCache>
                <c:ptCount val="1"/>
                <c:pt idx="0">
                  <c:v>Average of CGPA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DC82-4283-9EA3-ABBBE4D764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DC82-4283-9EA3-ABBBE4D764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DC82-4283-9EA3-ABBBE4D764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DC82-4283-9EA3-ABBBE4D764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DC82-4283-9EA3-ABBBE4D76442}"/>
              </c:ext>
            </c:extLst>
          </c:dPt>
          <c:dLbls>
            <c:dLbl>
              <c:idx val="0"/>
              <c:layout>
                <c:manualLayout>
                  <c:x val="-3.3394695721512831E-2"/>
                  <c:y val="-5.531915048079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C82-4283-9EA3-ABBBE4D76442}"/>
                </c:ext>
              </c:extLst>
            </c:dLbl>
            <c:dLbl>
              <c:idx val="1"/>
              <c:layout>
                <c:manualLayout>
                  <c:x val="-5.8440717512647365E-2"/>
                  <c:y val="1.84397168269312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C82-4283-9EA3-ABBBE4D76442}"/>
                </c:ext>
              </c:extLst>
            </c:dLbl>
            <c:dLbl>
              <c:idx val="2"/>
              <c:layout>
                <c:manualLayout>
                  <c:x val="5.5657826202521299E-2"/>
                  <c:y val="7.3758867307725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C82-4283-9EA3-ABBBE4D76442}"/>
                </c:ext>
              </c:extLst>
            </c:dLbl>
            <c:dLbl>
              <c:idx val="3"/>
              <c:layout>
                <c:manualLayout>
                  <c:x val="3.8960478341764908E-2"/>
                  <c:y val="-5.53191504807938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C82-4283-9EA3-ABBBE4D76442}"/>
                </c:ext>
              </c:extLst>
            </c:dLbl>
            <c:dLbl>
              <c:idx val="4"/>
              <c:layout>
                <c:manualLayout>
                  <c:x val="2.782891310126065E-3"/>
                  <c:y val="5.531915048079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C82-4283-9EA3-ABBBE4D764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'club participation by attandanc'!$A$4:$A$9</c:f>
              <c:strCache>
                <c:ptCount val="5"/>
                <c:pt idx="0">
                  <c:v>Tech</c:v>
                </c:pt>
                <c:pt idx="1">
                  <c:v>Sports</c:v>
                </c:pt>
                <c:pt idx="2">
                  <c:v>Literature</c:v>
                </c:pt>
                <c:pt idx="3">
                  <c:v>Cultural</c:v>
                </c:pt>
                <c:pt idx="4">
                  <c:v>None</c:v>
                </c:pt>
              </c:strCache>
            </c:strRef>
          </c:cat>
          <c:val>
            <c:numRef>
              <c:f>'club participation by attandanc'!$C$4:$C$9</c:f>
              <c:numCache>
                <c:formatCode>0.00</c:formatCode>
                <c:ptCount val="5"/>
                <c:pt idx="0">
                  <c:v>6.8177435897435901</c:v>
                </c:pt>
                <c:pt idx="1">
                  <c:v>7.1267582417582398</c:v>
                </c:pt>
                <c:pt idx="2">
                  <c:v>6.8059016393442624</c:v>
                </c:pt>
                <c:pt idx="3">
                  <c:v>7.0895375722543337</c:v>
                </c:pt>
                <c:pt idx="4">
                  <c:v>7.1299382716049404</c:v>
                </c:pt>
              </c:numCache>
            </c:numRef>
          </c:val>
          <c:extLst>
            <c:ext xmlns:c16="http://schemas.microsoft.com/office/drawing/2014/chart" uri="{C3380CC4-5D6E-409C-BE32-E72D297353CC}">
              <c16:uniqueId val="{00000015-DC82-4283-9EA3-ABBBE4D7644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[Education_Dataset.xlsx]cgpa by field of study by year!PivotTable3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'cgpa by field of study by year'!$B$3</c:f>
              <c:strCache>
                <c:ptCount val="1"/>
                <c:pt idx="0">
                  <c:v>Total</c:v>
                </c:pt>
              </c:strCache>
            </c:strRef>
          </c:tx>
          <c:spPr>
            <a:solidFill>
              <a:schemeClr val="accent1"/>
            </a:solidFill>
            <a:ln>
              <a:noFill/>
            </a:ln>
            <a:effectLst/>
          </c:spPr>
          <c:invertIfNegative val="0"/>
          <c:cat>
            <c:multiLvlStrRef>
              <c:f>'cgpa by field of study by year'!$A$4:$A$38</c:f>
              <c:multiLvlStrCache>
                <c:ptCount val="25"/>
                <c:lvl>
                  <c:pt idx="0">
                    <c:v>1</c:v>
                  </c:pt>
                  <c:pt idx="1">
                    <c:v>2</c:v>
                  </c:pt>
                  <c:pt idx="2">
                    <c:v>3</c:v>
                  </c:pt>
                  <c:pt idx="3">
                    <c:v>1</c:v>
                  </c:pt>
                  <c:pt idx="4">
                    <c:v>2</c:v>
                  </c:pt>
                  <c:pt idx="5">
                    <c:v>3</c:v>
                  </c:pt>
                  <c:pt idx="6">
                    <c:v>1</c:v>
                  </c:pt>
                  <c:pt idx="7">
                    <c:v>2</c:v>
                  </c:pt>
                  <c:pt idx="8">
                    <c:v>3</c:v>
                  </c:pt>
                  <c:pt idx="9">
                    <c:v>4</c:v>
                  </c:pt>
                  <c:pt idx="10">
                    <c:v>1</c:v>
                  </c:pt>
                  <c:pt idx="11">
                    <c:v>2</c:v>
                  </c:pt>
                  <c:pt idx="12">
                    <c:v>3</c:v>
                  </c:pt>
                  <c:pt idx="13">
                    <c:v>1</c:v>
                  </c:pt>
                  <c:pt idx="14">
                    <c:v>2</c:v>
                  </c:pt>
                  <c:pt idx="15">
                    <c:v>1</c:v>
                  </c:pt>
                  <c:pt idx="16">
                    <c:v>2</c:v>
                  </c:pt>
                  <c:pt idx="17">
                    <c:v>3</c:v>
                  </c:pt>
                  <c:pt idx="18">
                    <c:v>1</c:v>
                  </c:pt>
                  <c:pt idx="19">
                    <c:v>2</c:v>
                  </c:pt>
                  <c:pt idx="20">
                    <c:v>1</c:v>
                  </c:pt>
                  <c:pt idx="21">
                    <c:v>2</c:v>
                  </c:pt>
                  <c:pt idx="22">
                    <c:v>1</c:v>
                  </c:pt>
                  <c:pt idx="23">
                    <c:v>2</c:v>
                  </c:pt>
                  <c:pt idx="24">
                    <c:v>3</c:v>
                  </c:pt>
                </c:lvl>
                <c:lvl>
                  <c:pt idx="0">
                    <c:v>BSc CS</c:v>
                  </c:pt>
                  <c:pt idx="3">
                    <c:v>BBA</c:v>
                  </c:pt>
                  <c:pt idx="6">
                    <c:v>BTech</c:v>
                  </c:pt>
                  <c:pt idx="10">
                    <c:v>BCA</c:v>
                  </c:pt>
                  <c:pt idx="13">
                    <c:v>MCA</c:v>
                  </c:pt>
                  <c:pt idx="15">
                    <c:v>BA</c:v>
                  </c:pt>
                  <c:pt idx="18">
                    <c:v>MTech</c:v>
                  </c:pt>
                  <c:pt idx="20">
                    <c:v>MBA</c:v>
                  </c:pt>
                  <c:pt idx="22">
                    <c:v>BCom</c:v>
                  </c:pt>
                </c:lvl>
              </c:multiLvlStrCache>
            </c:multiLvlStrRef>
          </c:cat>
          <c:val>
            <c:numRef>
              <c:f>'cgpa by field of study by year'!$B$4:$B$38</c:f>
              <c:numCache>
                <c:formatCode>0.00</c:formatCode>
                <c:ptCount val="25"/>
                <c:pt idx="0">
                  <c:v>7.3007142857142853</c:v>
                </c:pt>
                <c:pt idx="1">
                  <c:v>7.450263157894736</c:v>
                </c:pt>
                <c:pt idx="2">
                  <c:v>6.7459375000000019</c:v>
                </c:pt>
                <c:pt idx="3">
                  <c:v>7.0185185185185164</c:v>
                </c:pt>
                <c:pt idx="4">
                  <c:v>7.2023529411764722</c:v>
                </c:pt>
                <c:pt idx="5">
                  <c:v>7.1062500000000002</c:v>
                </c:pt>
                <c:pt idx="6">
                  <c:v>7.0400000000000027</c:v>
                </c:pt>
                <c:pt idx="7">
                  <c:v>7.0094117647058809</c:v>
                </c:pt>
                <c:pt idx="8">
                  <c:v>7.2861290322580654</c:v>
                </c:pt>
                <c:pt idx="9">
                  <c:v>6.9061111111111124</c:v>
                </c:pt>
                <c:pt idx="10">
                  <c:v>6.8703125000000016</c:v>
                </c:pt>
                <c:pt idx="11">
                  <c:v>6.5224137931034498</c:v>
                </c:pt>
                <c:pt idx="12">
                  <c:v>7.5666666666666673</c:v>
                </c:pt>
                <c:pt idx="13">
                  <c:v>6.8833898305084755</c:v>
                </c:pt>
                <c:pt idx="14">
                  <c:v>7.0188679245283021</c:v>
                </c:pt>
                <c:pt idx="15">
                  <c:v>7.4070967741935494</c:v>
                </c:pt>
                <c:pt idx="16">
                  <c:v>6.555161290322582</c:v>
                </c:pt>
                <c:pt idx="17">
                  <c:v>6.7854545454545452</c:v>
                </c:pt>
                <c:pt idx="18">
                  <c:v>6.7730000000000006</c:v>
                </c:pt>
                <c:pt idx="19">
                  <c:v>7.0287755102040794</c:v>
                </c:pt>
                <c:pt idx="20">
                  <c:v>6.9974468085106407</c:v>
                </c:pt>
                <c:pt idx="21">
                  <c:v>6.7711111111111135</c:v>
                </c:pt>
                <c:pt idx="22">
                  <c:v>6.6997560975609751</c:v>
                </c:pt>
                <c:pt idx="23">
                  <c:v>6.6149999999999993</c:v>
                </c:pt>
                <c:pt idx="24">
                  <c:v>7.1709756097560975</c:v>
                </c:pt>
              </c:numCache>
            </c:numRef>
          </c:val>
          <c:extLst>
            <c:ext xmlns:c16="http://schemas.microsoft.com/office/drawing/2014/chart" uri="{C3380CC4-5D6E-409C-BE32-E72D297353CC}">
              <c16:uniqueId val="{00000000-C120-4AED-8BA5-199F63334BB0}"/>
            </c:ext>
          </c:extLst>
        </c:ser>
        <c:dLbls>
          <c:showLegendKey val="0"/>
          <c:showVal val="0"/>
          <c:showCatName val="0"/>
          <c:showSerName val="0"/>
          <c:showPercent val="0"/>
          <c:showBubbleSize val="0"/>
        </c:dLbls>
        <c:gapWidth val="219"/>
        <c:overlap val="-27"/>
        <c:axId val="827529631"/>
        <c:axId val="827528191"/>
      </c:barChart>
      <c:catAx>
        <c:axId val="82752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28191"/>
        <c:crosses val="autoZero"/>
        <c:auto val="1"/>
        <c:lblAlgn val="ctr"/>
        <c:lblOffset val="100"/>
        <c:noMultiLvlLbl val="0"/>
      </c:catAx>
      <c:valAx>
        <c:axId val="8275281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2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[Education_Dataset.xlsx]Top scorer by gender from years!PivotTable3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scorer by gender from years'!$B$3:$B$4</c:f>
              <c:strCache>
                <c:ptCount val="1"/>
                <c:pt idx="0">
                  <c:v>4</c:v>
                </c:pt>
              </c:strCache>
            </c:strRef>
          </c:tx>
          <c:spPr>
            <a:solidFill>
              <a:schemeClr val="accent1"/>
            </a:solidFill>
            <a:ln>
              <a:noFill/>
            </a:ln>
            <a:effectLst/>
          </c:spPr>
          <c:invertIfNegative val="0"/>
          <c:cat>
            <c:strRef>
              <c:f>'Top scorer by gender from years'!$A$5:$A$15</c:f>
              <c:strCache>
                <c:ptCount val="10"/>
                <c:pt idx="0">
                  <c:v>S0049</c:v>
                </c:pt>
                <c:pt idx="1">
                  <c:v>S0220</c:v>
                </c:pt>
                <c:pt idx="2">
                  <c:v>S0230</c:v>
                </c:pt>
                <c:pt idx="3">
                  <c:v>S0274</c:v>
                </c:pt>
                <c:pt idx="4">
                  <c:v>S0457</c:v>
                </c:pt>
                <c:pt idx="5">
                  <c:v>S0537</c:v>
                </c:pt>
                <c:pt idx="6">
                  <c:v>S0570</c:v>
                </c:pt>
                <c:pt idx="7">
                  <c:v>S0643</c:v>
                </c:pt>
                <c:pt idx="8">
                  <c:v>S0681</c:v>
                </c:pt>
                <c:pt idx="9">
                  <c:v>S0831</c:v>
                </c:pt>
              </c:strCache>
            </c:strRef>
          </c:cat>
          <c:val>
            <c:numRef>
              <c:f>'Top scorer by gender from years'!$B$5:$B$15</c:f>
              <c:numCache>
                <c:formatCode>General</c:formatCode>
                <c:ptCount val="10"/>
              </c:numCache>
            </c:numRef>
          </c:val>
          <c:extLst>
            <c:ext xmlns:c16="http://schemas.microsoft.com/office/drawing/2014/chart" uri="{C3380CC4-5D6E-409C-BE32-E72D297353CC}">
              <c16:uniqueId val="{00000000-BF6A-42C6-A519-99B31C8283D7}"/>
            </c:ext>
          </c:extLst>
        </c:ser>
        <c:ser>
          <c:idx val="1"/>
          <c:order val="1"/>
          <c:tx>
            <c:strRef>
              <c:f>'Top scorer by gender from years'!$C$3:$C$4</c:f>
              <c:strCache>
                <c:ptCount val="1"/>
                <c:pt idx="0">
                  <c:v>3</c:v>
                </c:pt>
              </c:strCache>
            </c:strRef>
          </c:tx>
          <c:spPr>
            <a:solidFill>
              <a:schemeClr val="accent2"/>
            </a:solidFill>
            <a:ln>
              <a:noFill/>
            </a:ln>
            <a:effectLst/>
          </c:spPr>
          <c:invertIfNegative val="0"/>
          <c:cat>
            <c:strRef>
              <c:f>'Top scorer by gender from years'!$A$5:$A$15</c:f>
              <c:strCache>
                <c:ptCount val="10"/>
                <c:pt idx="0">
                  <c:v>S0049</c:v>
                </c:pt>
                <c:pt idx="1">
                  <c:v>S0220</c:v>
                </c:pt>
                <c:pt idx="2">
                  <c:v>S0230</c:v>
                </c:pt>
                <c:pt idx="3">
                  <c:v>S0274</c:v>
                </c:pt>
                <c:pt idx="4">
                  <c:v>S0457</c:v>
                </c:pt>
                <c:pt idx="5">
                  <c:v>S0537</c:v>
                </c:pt>
                <c:pt idx="6">
                  <c:v>S0570</c:v>
                </c:pt>
                <c:pt idx="7">
                  <c:v>S0643</c:v>
                </c:pt>
                <c:pt idx="8">
                  <c:v>S0681</c:v>
                </c:pt>
                <c:pt idx="9">
                  <c:v>S0831</c:v>
                </c:pt>
              </c:strCache>
            </c:strRef>
          </c:cat>
          <c:val>
            <c:numRef>
              <c:f>'Top scorer by gender from years'!$C$5:$C$15</c:f>
              <c:numCache>
                <c:formatCode>General</c:formatCode>
                <c:ptCount val="10"/>
                <c:pt idx="7">
                  <c:v>10</c:v>
                </c:pt>
                <c:pt idx="8">
                  <c:v>9.94</c:v>
                </c:pt>
                <c:pt idx="9">
                  <c:v>9.94</c:v>
                </c:pt>
              </c:numCache>
            </c:numRef>
          </c:val>
          <c:extLst>
            <c:ext xmlns:c16="http://schemas.microsoft.com/office/drawing/2014/chart" uri="{C3380CC4-5D6E-409C-BE32-E72D297353CC}">
              <c16:uniqueId val="{00000001-BF6A-42C6-A519-99B31C8283D7}"/>
            </c:ext>
          </c:extLst>
        </c:ser>
        <c:ser>
          <c:idx val="2"/>
          <c:order val="2"/>
          <c:tx>
            <c:strRef>
              <c:f>'Top scorer by gender from years'!$D$3:$D$4</c:f>
              <c:strCache>
                <c:ptCount val="1"/>
                <c:pt idx="0">
                  <c:v>2</c:v>
                </c:pt>
              </c:strCache>
            </c:strRef>
          </c:tx>
          <c:spPr>
            <a:solidFill>
              <a:schemeClr val="accent3"/>
            </a:solidFill>
            <a:ln>
              <a:noFill/>
            </a:ln>
            <a:effectLst/>
          </c:spPr>
          <c:invertIfNegative val="0"/>
          <c:cat>
            <c:strRef>
              <c:f>'Top scorer by gender from years'!$A$5:$A$15</c:f>
              <c:strCache>
                <c:ptCount val="10"/>
                <c:pt idx="0">
                  <c:v>S0049</c:v>
                </c:pt>
                <c:pt idx="1">
                  <c:v>S0220</c:v>
                </c:pt>
                <c:pt idx="2">
                  <c:v>S0230</c:v>
                </c:pt>
                <c:pt idx="3">
                  <c:v>S0274</c:v>
                </c:pt>
                <c:pt idx="4">
                  <c:v>S0457</c:v>
                </c:pt>
                <c:pt idx="5">
                  <c:v>S0537</c:v>
                </c:pt>
                <c:pt idx="6">
                  <c:v>S0570</c:v>
                </c:pt>
                <c:pt idx="7">
                  <c:v>S0643</c:v>
                </c:pt>
                <c:pt idx="8">
                  <c:v>S0681</c:v>
                </c:pt>
                <c:pt idx="9">
                  <c:v>S0831</c:v>
                </c:pt>
              </c:strCache>
            </c:strRef>
          </c:cat>
          <c:val>
            <c:numRef>
              <c:f>'Top scorer by gender from years'!$D$5:$D$15</c:f>
              <c:numCache>
                <c:formatCode>General</c:formatCode>
                <c:ptCount val="10"/>
                <c:pt idx="5">
                  <c:v>9.99</c:v>
                </c:pt>
              </c:numCache>
            </c:numRef>
          </c:val>
          <c:extLst>
            <c:ext xmlns:c16="http://schemas.microsoft.com/office/drawing/2014/chart" uri="{C3380CC4-5D6E-409C-BE32-E72D297353CC}">
              <c16:uniqueId val="{00000002-BF6A-42C6-A519-99B31C8283D7}"/>
            </c:ext>
          </c:extLst>
        </c:ser>
        <c:ser>
          <c:idx val="3"/>
          <c:order val="3"/>
          <c:tx>
            <c:strRef>
              <c:f>'Top scorer by gender from years'!$E$3:$E$4</c:f>
              <c:strCache>
                <c:ptCount val="1"/>
                <c:pt idx="0">
                  <c:v>1</c:v>
                </c:pt>
              </c:strCache>
            </c:strRef>
          </c:tx>
          <c:spPr>
            <a:solidFill>
              <a:schemeClr val="accent4"/>
            </a:solidFill>
            <a:ln>
              <a:noFill/>
            </a:ln>
            <a:effectLst/>
          </c:spPr>
          <c:invertIfNegative val="0"/>
          <c:cat>
            <c:strRef>
              <c:f>'Top scorer by gender from years'!$A$5:$A$15</c:f>
              <c:strCache>
                <c:ptCount val="10"/>
                <c:pt idx="0">
                  <c:v>S0049</c:v>
                </c:pt>
                <c:pt idx="1">
                  <c:v>S0220</c:v>
                </c:pt>
                <c:pt idx="2">
                  <c:v>S0230</c:v>
                </c:pt>
                <c:pt idx="3">
                  <c:v>S0274</c:v>
                </c:pt>
                <c:pt idx="4">
                  <c:v>S0457</c:v>
                </c:pt>
                <c:pt idx="5">
                  <c:v>S0537</c:v>
                </c:pt>
                <c:pt idx="6">
                  <c:v>S0570</c:v>
                </c:pt>
                <c:pt idx="7">
                  <c:v>S0643</c:v>
                </c:pt>
                <c:pt idx="8">
                  <c:v>S0681</c:v>
                </c:pt>
                <c:pt idx="9">
                  <c:v>S0831</c:v>
                </c:pt>
              </c:strCache>
            </c:strRef>
          </c:cat>
          <c:val>
            <c:numRef>
              <c:f>'Top scorer by gender from years'!$E$5:$E$15</c:f>
              <c:numCache>
                <c:formatCode>General</c:formatCode>
                <c:ptCount val="10"/>
                <c:pt idx="0">
                  <c:v>9.94</c:v>
                </c:pt>
                <c:pt idx="1">
                  <c:v>9.9499999999999993</c:v>
                </c:pt>
                <c:pt idx="2">
                  <c:v>9.9600000000000009</c:v>
                </c:pt>
                <c:pt idx="3">
                  <c:v>9.9700000000000006</c:v>
                </c:pt>
                <c:pt idx="4">
                  <c:v>9.9499999999999993</c:v>
                </c:pt>
                <c:pt idx="6">
                  <c:v>9.99</c:v>
                </c:pt>
              </c:numCache>
            </c:numRef>
          </c:val>
          <c:extLst>
            <c:ext xmlns:c16="http://schemas.microsoft.com/office/drawing/2014/chart" uri="{C3380CC4-5D6E-409C-BE32-E72D297353CC}">
              <c16:uniqueId val="{00000005-BF6A-42C6-A519-99B31C8283D7}"/>
            </c:ext>
          </c:extLst>
        </c:ser>
        <c:dLbls>
          <c:showLegendKey val="0"/>
          <c:showVal val="0"/>
          <c:showCatName val="0"/>
          <c:showSerName val="0"/>
          <c:showPercent val="0"/>
          <c:showBubbleSize val="0"/>
        </c:dLbls>
        <c:gapWidth val="182"/>
        <c:axId val="827495551"/>
        <c:axId val="827506111"/>
      </c:barChart>
      <c:catAx>
        <c:axId val="82749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5"/>
                  </a:solidFill>
                </a:ln>
                <a:solidFill>
                  <a:schemeClr val="tx1"/>
                </a:solidFill>
                <a:latin typeface="+mn-lt"/>
                <a:ea typeface="+mn-ea"/>
                <a:cs typeface="+mn-cs"/>
              </a:defRPr>
            </a:pPr>
            <a:endParaRPr lang="en-US"/>
          </a:p>
        </c:txPr>
        <c:crossAx val="827506111"/>
        <c:crosses val="autoZero"/>
        <c:auto val="1"/>
        <c:lblAlgn val="ctr"/>
        <c:lblOffset val="100"/>
        <c:noMultiLvlLbl val="0"/>
      </c:catAx>
      <c:valAx>
        <c:axId val="827506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5"/>
                  </a:solidFill>
                </a:ln>
                <a:solidFill>
                  <a:schemeClr val="tx1"/>
                </a:solidFill>
                <a:latin typeface="+mn-lt"/>
                <a:ea typeface="+mn-ea"/>
                <a:cs typeface="+mn-cs"/>
              </a:defRPr>
            </a:pPr>
            <a:endParaRPr lang="en-US"/>
          </a:p>
        </c:txPr>
        <c:crossAx val="82749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5"/>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accent5"/>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[Education_Dataset.xlsx]Attandance by year!PivotTable3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'Attandance by year'!$B$3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C1-4EC8-8F44-CB151443E6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C1-4EC8-8F44-CB151443E6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C1-4EC8-8F44-CB151443E6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C1-4EC8-8F44-CB151443E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'Attandance by year'!$A$4:$A$8</c:f>
              <c:strCache>
                <c:ptCount val="4"/>
                <c:pt idx="0">
                  <c:v>1</c:v>
                </c:pt>
                <c:pt idx="1">
                  <c:v>2</c:v>
                </c:pt>
                <c:pt idx="2">
                  <c:v>3</c:v>
                </c:pt>
                <c:pt idx="3">
                  <c:v>4</c:v>
                </c:pt>
              </c:strCache>
            </c:strRef>
          </c:cat>
          <c:val>
            <c:numRef>
              <c:f>'Attandance by year'!$B$4:$B$8</c:f>
              <c:numCache>
                <c:formatCode>General</c:formatCode>
                <c:ptCount val="4"/>
                <c:pt idx="0">
                  <c:v>25396.69999999999</c:v>
                </c:pt>
                <c:pt idx="1">
                  <c:v>24442.899999999998</c:v>
                </c:pt>
                <c:pt idx="2">
                  <c:v>15503.000000000005</c:v>
                </c:pt>
                <c:pt idx="3">
                  <c:v>1417</c:v>
                </c:pt>
              </c:numCache>
            </c:numRef>
          </c:val>
          <c:extLst>
            <c:ext xmlns:c16="http://schemas.microsoft.com/office/drawing/2014/chart" uri="{C3380CC4-5D6E-409C-BE32-E72D297353CC}">
              <c16:uniqueId val="{00000008-CBC1-4EC8-8F44-CB151443E6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7</xdr:col>
      <xdr:colOff>30480</xdr:colOff>
      <xdr:row>1</xdr:row>
      <xdr:rowOff>129540</xdr:rowOff>
    </xdr:from>
    <xdr:to>
      <xdr:col>15</xdr:col>
      <xdr:colOff>487680</xdr:colOff>
      <xdr:row>16</xdr:row>
      <xdr:rowOff>129540</xdr:rowOff>
    </xdr:to>
    <xdr:graphicFrame macro="">
      <xdr:nvGraphicFramePr>
        <xdr:cNvPr id="3" name="Chart 2">
          <a:extLst>
            <a:ext uri="{FF2B5EF4-FFF2-40B4-BE49-F238E27FC236}">
              <a16:creationId xmlns:a16="http://schemas.microsoft.com/office/drawing/2014/main" id="{D177787C-35A5-9D48-5D1B-02A94A245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426720</xdr:colOff>
      <xdr:row>7</xdr:row>
      <xdr:rowOff>49530</xdr:rowOff>
    </xdr:from>
    <xdr:to>
      <xdr:col>10</xdr:col>
      <xdr:colOff>601980</xdr:colOff>
      <xdr:row>22</xdr:row>
      <xdr:rowOff>49530</xdr:rowOff>
    </xdr:to>
    <xdr:graphicFrame macro="">
      <xdr:nvGraphicFramePr>
        <xdr:cNvPr id="3" name="Chart 2">
          <a:extLst>
            <a:ext uri="{FF2B5EF4-FFF2-40B4-BE49-F238E27FC236}">
              <a16:creationId xmlns:a16="http://schemas.microsoft.com/office/drawing/2014/main" id="{F7D4C050-D54B-8D11-6D79-A18CDF651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7</xdr:row>
      <xdr:rowOff>53340</xdr:rowOff>
    </xdr:from>
    <xdr:to>
      <xdr:col>11</xdr:col>
      <xdr:colOff>182880</xdr:colOff>
      <xdr:row>22</xdr:row>
      <xdr:rowOff>53340</xdr:rowOff>
    </xdr:to>
    <xdr:graphicFrame macro="">
      <xdr:nvGraphicFramePr>
        <xdr:cNvPr id="3" name="Chart 2">
          <a:extLst>
            <a:ext uri="{FF2B5EF4-FFF2-40B4-BE49-F238E27FC236}">
              <a16:creationId xmlns:a16="http://schemas.microsoft.com/office/drawing/2014/main" id="{9BE13C4A-253C-EDDA-F7C7-F8173CABA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167640</xdr:colOff>
      <xdr:row>10</xdr:row>
      <xdr:rowOff>41910</xdr:rowOff>
    </xdr:from>
    <xdr:to>
      <xdr:col>10</xdr:col>
      <xdr:colOff>342900</xdr:colOff>
      <xdr:row>25</xdr:row>
      <xdr:rowOff>41910</xdr:rowOff>
    </xdr:to>
    <xdr:graphicFrame macro="">
      <xdr:nvGraphicFramePr>
        <xdr:cNvPr id="4" name="Chart 3">
          <a:extLst>
            <a:ext uri="{FF2B5EF4-FFF2-40B4-BE49-F238E27FC236}">
              <a16:creationId xmlns:a16="http://schemas.microsoft.com/office/drawing/2014/main" id="{54D98071-BA04-9A0E-C6AB-06260D911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579120</xdr:colOff>
      <xdr:row>7</xdr:row>
      <xdr:rowOff>49530</xdr:rowOff>
    </xdr:from>
    <xdr:to>
      <xdr:col>20</xdr:col>
      <xdr:colOff>7620</xdr:colOff>
      <xdr:row>22</xdr:row>
      <xdr:rowOff>49530</xdr:rowOff>
    </xdr:to>
    <xdr:graphicFrame macro="">
      <xdr:nvGraphicFramePr>
        <xdr:cNvPr id="4" name="Chart 3">
          <a:extLst>
            <a:ext uri="{FF2B5EF4-FFF2-40B4-BE49-F238E27FC236}">
              <a16:creationId xmlns:a16="http://schemas.microsoft.com/office/drawing/2014/main" id="{315C7145-3B29-D2E0-3794-950B16C8B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22860</xdr:colOff>
      <xdr:row>8</xdr:row>
      <xdr:rowOff>175261</xdr:rowOff>
    </xdr:from>
    <xdr:to>
      <xdr:col>2</xdr:col>
      <xdr:colOff>266700</xdr:colOff>
      <xdr:row>14</xdr:row>
      <xdr:rowOff>38101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E4C4A20-0588-949F-A415-F232D6663AA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4420" y="163830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624840</xdr:colOff>
      <xdr:row>8</xdr:row>
      <xdr:rowOff>144780</xdr:rowOff>
    </xdr:from>
    <xdr:to>
      <xdr:col>3</xdr:col>
      <xdr:colOff>990600</xdr:colOff>
      <xdr:row>22</xdr:row>
      <xdr:rowOff>51435</xdr:rowOff>
    </xdr:to>
    <mc:AlternateContent xmlns:mc="http://schemas.openxmlformats.org/markup-compatibility/2006" xmlns:a14="http://schemas.microsoft.com/office/drawing/2010/main">
      <mc:Choice Requires="a14">
        <xdr:graphicFrame macro="">
          <xdr:nvGraphicFramePr>
            <xdr:cNvPr id="3" name="Course">
              <a:extLst>
                <a:ext uri="{FF2B5EF4-FFF2-40B4-BE49-F238E27FC236}">
                  <a16:creationId xmlns:a16="http://schemas.microsoft.com/office/drawing/2014/main" id="{FA575A85-7623-80E8-ABE6-339D84E0217C}"/>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3261360" y="1607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1135380</xdr:colOff>
      <xdr:row>8</xdr:row>
      <xdr:rowOff>45721</xdr:rowOff>
    </xdr:from>
    <xdr:to>
      <xdr:col>4</xdr:col>
      <xdr:colOff>769620</xdr:colOff>
      <xdr:row>14</xdr:row>
      <xdr:rowOff>137161</xdr:rowOff>
    </xdr:to>
    <mc:AlternateContent xmlns:mc="http://schemas.openxmlformats.org/markup-compatibility/2006" xmlns:a14="http://schemas.microsoft.com/office/drawing/2010/main">
      <mc:Choice Requires="a14">
        <xdr:graphicFrame macro="">
          <xdr:nvGraphicFramePr>
            <xdr:cNvPr id="4" name="Living_Type">
              <a:extLst>
                <a:ext uri="{FF2B5EF4-FFF2-40B4-BE49-F238E27FC236}">
                  <a16:creationId xmlns:a16="http://schemas.microsoft.com/office/drawing/2014/main" id="{794CBA6E-6D88-8045-B114-0594E198EB22}"/>
                </a:ext>
              </a:extLst>
            </xdr:cNvPr>
            <xdr:cNvGraphicFramePr/>
          </xdr:nvGraphicFramePr>
          <xdr:xfrm>
            <a:off x="0" y="0"/>
            <a:ext cx="0" cy="0"/>
          </xdr:xfrm>
          <a:graphic>
            <a:graphicData uri="http://schemas.microsoft.com/office/drawing/2010/slicer">
              <sle:slicer xmlns:sle="http://schemas.microsoft.com/office/drawing/2010/slicer" name="Living_Type"/>
            </a:graphicData>
          </a:graphic>
        </xdr:graphicFrame>
      </mc:Choice>
      <mc:Fallback xmlns="">
        <xdr:sp macro="" textlink="">
          <xdr:nvSpPr>
            <xdr:cNvPr id="0" name=""/>
            <xdr:cNvSpPr>
              <a:spLocks noTextEdit="1"/>
            </xdr:cNvSpPr>
          </xdr:nvSpPr>
          <xdr:spPr>
            <a:xfrm>
              <a:off x="5234940" y="150876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358140</xdr:colOff>
      <xdr:row>8</xdr:row>
      <xdr:rowOff>1</xdr:rowOff>
    </xdr:from>
    <xdr:to>
      <xdr:col>9</xdr:col>
      <xdr:colOff>358140</xdr:colOff>
      <xdr:row>17</xdr:row>
      <xdr:rowOff>129541</xdr:rowOff>
    </xdr:to>
    <mc:AlternateContent xmlns:mc="http://schemas.openxmlformats.org/markup-compatibility/2006" xmlns:a14="http://schemas.microsoft.com/office/drawing/2010/main">
      <mc:Choice Requires="a14">
        <xdr:graphicFrame macro="">
          <xdr:nvGraphicFramePr>
            <xdr:cNvPr id="5" name="Club_Participation">
              <a:extLst>
                <a:ext uri="{FF2B5EF4-FFF2-40B4-BE49-F238E27FC236}">
                  <a16:creationId xmlns:a16="http://schemas.microsoft.com/office/drawing/2014/main" id="{41EAFBA0-C5A1-AE3D-1C7E-10DEDFD5A8F0}"/>
                </a:ext>
              </a:extLst>
            </xdr:cNvPr>
            <xdr:cNvGraphicFramePr/>
          </xdr:nvGraphicFramePr>
          <xdr:xfrm>
            <a:off x="0" y="0"/>
            <a:ext cx="0" cy="0"/>
          </xdr:xfrm>
          <a:graphic>
            <a:graphicData uri="http://schemas.microsoft.com/office/drawing/2010/slicer">
              <sle:slicer xmlns:sle="http://schemas.microsoft.com/office/drawing/2010/slicer" name="Club_Participation"/>
            </a:graphicData>
          </a:graphic>
        </xdr:graphicFrame>
      </mc:Choice>
      <mc:Fallback xmlns="">
        <xdr:sp macro="" textlink="">
          <xdr:nvSpPr>
            <xdr:cNvPr id="0" name=""/>
            <xdr:cNvSpPr>
              <a:spLocks noTextEdit="1"/>
            </xdr:cNvSpPr>
          </xdr:nvSpPr>
          <xdr:spPr>
            <a:xfrm>
              <a:off x="9258300" y="1463041"/>
              <a:ext cx="18288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944880</xdr:colOff>
      <xdr:row>8</xdr:row>
      <xdr:rowOff>45721</xdr:rowOff>
    </xdr:from>
    <xdr:to>
      <xdr:col>6</xdr:col>
      <xdr:colOff>167640</xdr:colOff>
      <xdr:row>16</xdr:row>
      <xdr:rowOff>60961</xdr:rowOff>
    </xdr:to>
    <mc:AlternateContent xmlns:mc="http://schemas.openxmlformats.org/markup-compatibility/2006" xmlns:a14="http://schemas.microsoft.com/office/drawing/2010/main">
      <mc:Choice Requires="a14">
        <xdr:graphicFrame macro="">
          <xdr:nvGraphicFramePr>
            <xdr:cNvPr id="6" name="Year_of_Study">
              <a:extLst>
                <a:ext uri="{FF2B5EF4-FFF2-40B4-BE49-F238E27FC236}">
                  <a16:creationId xmlns:a16="http://schemas.microsoft.com/office/drawing/2014/main" id="{909433D8-467F-0E9A-C537-0EFFDF20F3A1}"/>
                </a:ext>
              </a:extLst>
            </xdr:cNvPr>
            <xdr:cNvGraphicFramePr/>
          </xdr:nvGraphicFramePr>
          <xdr:xfrm>
            <a:off x="0" y="0"/>
            <a:ext cx="0" cy="0"/>
          </xdr:xfrm>
          <a:graphic>
            <a:graphicData uri="http://schemas.microsoft.com/office/drawing/2010/slicer">
              <sle:slicer xmlns:sle="http://schemas.microsoft.com/office/drawing/2010/slicer" name="Year_of_Study"/>
            </a:graphicData>
          </a:graphic>
        </xdr:graphicFrame>
      </mc:Choice>
      <mc:Fallback xmlns="">
        <xdr:sp macro="" textlink="">
          <xdr:nvSpPr>
            <xdr:cNvPr id="0" name=""/>
            <xdr:cNvSpPr>
              <a:spLocks noTextEdit="1"/>
            </xdr:cNvSpPr>
          </xdr:nvSpPr>
          <xdr:spPr>
            <a:xfrm>
              <a:off x="7239000" y="150876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0</xdr:row>
      <xdr:rowOff>45720</xdr:rowOff>
    </xdr:from>
    <xdr:to>
      <xdr:col>22</xdr:col>
      <xdr:colOff>579120</xdr:colOff>
      <xdr:row>3</xdr:row>
      <xdr:rowOff>30480</xdr:rowOff>
    </xdr:to>
    <xdr:sp macro="" textlink="">
      <xdr:nvSpPr>
        <xdr:cNvPr id="2" name="Rectangle 1">
          <a:extLst>
            <a:ext uri="{FF2B5EF4-FFF2-40B4-BE49-F238E27FC236}">
              <a16:creationId xmlns:a16="http://schemas.microsoft.com/office/drawing/2014/main" id="{9E296949-8233-99AD-3A60-A1B2EBF9A71F}"/>
            </a:ext>
          </a:extLst>
        </xdr:cNvPr>
        <xdr:cNvSpPr/>
      </xdr:nvSpPr>
      <xdr:spPr>
        <a:xfrm>
          <a:off x="38100" y="45720"/>
          <a:ext cx="13952220" cy="5334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2800" b="1">
              <a:latin typeface="Algerian" panose="04020705040A02060702" pitchFamily="82" charset="0"/>
            </a:rPr>
            <a:t>STUDENT EDUCATION ANALYSIS</a:t>
          </a:r>
          <a:r>
            <a:rPr lang="en-IN" sz="2800" b="1" baseline="0">
              <a:latin typeface="Algerian" panose="04020705040A02060702" pitchFamily="82" charset="0"/>
            </a:rPr>
            <a:t> DASHBOARD</a:t>
          </a:r>
          <a:endParaRPr lang="en-IN" sz="2800" b="1">
            <a:latin typeface="Algerian" panose="04020705040A02060702" pitchFamily="82" charset="0"/>
          </a:endParaRPr>
        </a:p>
      </xdr:txBody>
    </xdr:sp>
    <xdr:clientData/>
  </xdr:twoCellAnchor>
  <xdr:twoCellAnchor>
    <xdr:from>
      <xdr:col>0</xdr:col>
      <xdr:colOff>76200</xdr:colOff>
      <xdr:row>3</xdr:row>
      <xdr:rowOff>160020</xdr:rowOff>
    </xdr:from>
    <xdr:to>
      <xdr:col>2</xdr:col>
      <xdr:colOff>541020</xdr:colOff>
      <xdr:row>9</xdr:row>
      <xdr:rowOff>175260</xdr:rowOff>
    </xdr:to>
    <xdr:sp macro="" textlink="">
      <xdr:nvSpPr>
        <xdr:cNvPr id="3" name="Rectangle: Rounded Corners 2">
          <a:extLst>
            <a:ext uri="{FF2B5EF4-FFF2-40B4-BE49-F238E27FC236}">
              <a16:creationId xmlns:a16="http://schemas.microsoft.com/office/drawing/2014/main" id="{30D5103E-5FDB-4AC5-928D-D0194C65AEAE}"/>
            </a:ext>
          </a:extLst>
        </xdr:cNvPr>
        <xdr:cNvSpPr/>
      </xdr:nvSpPr>
      <xdr:spPr>
        <a:xfrm>
          <a:off x="76200" y="708660"/>
          <a:ext cx="1684020" cy="1112520"/>
        </a:xfrm>
        <a:prstGeom prst="roundRect">
          <a:avLst>
            <a:gd name="adj" fmla="val 12557"/>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100" b="1"/>
            <a:t>AVERAGE OF CGPA</a:t>
          </a:r>
        </a:p>
        <a:p>
          <a:pPr algn="ctr"/>
          <a:endParaRPr lang="en-IN" sz="1100" b="1"/>
        </a:p>
        <a:p>
          <a:pPr algn="ctr"/>
          <a:endParaRPr lang="en-IN" sz="1100" b="1"/>
        </a:p>
        <a:p>
          <a:pPr algn="ctr"/>
          <a:endParaRPr lang="en-IN" sz="1100" b="1"/>
        </a:p>
      </xdr:txBody>
    </xdr:sp>
    <xdr:clientData/>
  </xdr:twoCellAnchor>
  <xdr:twoCellAnchor>
    <xdr:from>
      <xdr:col>0</xdr:col>
      <xdr:colOff>83820</xdr:colOff>
      <xdr:row>11</xdr:row>
      <xdr:rowOff>34290</xdr:rowOff>
    </xdr:from>
    <xdr:to>
      <xdr:col>2</xdr:col>
      <xdr:colOff>548640</xdr:colOff>
      <xdr:row>17</xdr:row>
      <xdr:rowOff>49530</xdr:rowOff>
    </xdr:to>
    <xdr:sp macro="" textlink="">
      <xdr:nvSpPr>
        <xdr:cNvPr id="4" name="Rectangle: Rounded Corners 3">
          <a:extLst>
            <a:ext uri="{FF2B5EF4-FFF2-40B4-BE49-F238E27FC236}">
              <a16:creationId xmlns:a16="http://schemas.microsoft.com/office/drawing/2014/main" id="{DCA25A47-5716-B738-9C4C-C551737BA770}"/>
            </a:ext>
          </a:extLst>
        </xdr:cNvPr>
        <xdr:cNvSpPr/>
      </xdr:nvSpPr>
      <xdr:spPr>
        <a:xfrm>
          <a:off x="83820" y="2045970"/>
          <a:ext cx="1684020" cy="111252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100" b="1"/>
            <a:t>AVERAGE OF ATTANDANCE</a:t>
          </a:r>
        </a:p>
      </xdr:txBody>
    </xdr:sp>
    <xdr:clientData/>
  </xdr:twoCellAnchor>
  <xdr:twoCellAnchor>
    <xdr:from>
      <xdr:col>0</xdr:col>
      <xdr:colOff>91440</xdr:colOff>
      <xdr:row>18</xdr:row>
      <xdr:rowOff>91440</xdr:rowOff>
    </xdr:from>
    <xdr:to>
      <xdr:col>2</xdr:col>
      <xdr:colOff>556260</xdr:colOff>
      <xdr:row>24</xdr:row>
      <xdr:rowOff>106680</xdr:rowOff>
    </xdr:to>
    <xdr:sp macro="" textlink="">
      <xdr:nvSpPr>
        <xdr:cNvPr id="5" name="Rectangle: Rounded Corners 4">
          <a:extLst>
            <a:ext uri="{FF2B5EF4-FFF2-40B4-BE49-F238E27FC236}">
              <a16:creationId xmlns:a16="http://schemas.microsoft.com/office/drawing/2014/main" id="{3FACE622-79B8-660E-9A76-824F2FD697D0}"/>
            </a:ext>
          </a:extLst>
        </xdr:cNvPr>
        <xdr:cNvSpPr/>
      </xdr:nvSpPr>
      <xdr:spPr>
        <a:xfrm>
          <a:off x="91440" y="3383280"/>
          <a:ext cx="1684020" cy="111252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100" b="1"/>
            <a:t>AVERAGE OF SLEEP HOURS</a:t>
          </a:r>
        </a:p>
      </xdr:txBody>
    </xdr:sp>
    <xdr:clientData/>
  </xdr:twoCellAnchor>
  <xdr:twoCellAnchor>
    <xdr:from>
      <xdr:col>0</xdr:col>
      <xdr:colOff>99060</xdr:colOff>
      <xdr:row>25</xdr:row>
      <xdr:rowOff>148590</xdr:rowOff>
    </xdr:from>
    <xdr:to>
      <xdr:col>2</xdr:col>
      <xdr:colOff>563880</xdr:colOff>
      <xdr:row>31</xdr:row>
      <xdr:rowOff>163830</xdr:rowOff>
    </xdr:to>
    <xdr:sp macro="" textlink="">
      <xdr:nvSpPr>
        <xdr:cNvPr id="6" name="Rectangle: Rounded Corners 5">
          <a:extLst>
            <a:ext uri="{FF2B5EF4-FFF2-40B4-BE49-F238E27FC236}">
              <a16:creationId xmlns:a16="http://schemas.microsoft.com/office/drawing/2014/main" id="{A8DE74C1-B74A-954C-8B79-1574966F7328}"/>
            </a:ext>
          </a:extLst>
        </xdr:cNvPr>
        <xdr:cNvSpPr/>
      </xdr:nvSpPr>
      <xdr:spPr>
        <a:xfrm>
          <a:off x="99060" y="4720590"/>
          <a:ext cx="1684020" cy="111252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100" b="1"/>
            <a:t>AVG,</a:t>
          </a:r>
          <a:r>
            <a:rPr lang="en-IN" sz="1100" b="1" baseline="0"/>
            <a:t> OF SOCIAL MEDIA USAGE</a:t>
          </a:r>
          <a:endParaRPr lang="en-IN" sz="1100" b="1"/>
        </a:p>
      </xdr:txBody>
    </xdr:sp>
    <xdr:clientData/>
  </xdr:twoCellAnchor>
  <xdr:twoCellAnchor>
    <xdr:from>
      <xdr:col>0</xdr:col>
      <xdr:colOff>106680</xdr:colOff>
      <xdr:row>33</xdr:row>
      <xdr:rowOff>22860</xdr:rowOff>
    </xdr:from>
    <xdr:to>
      <xdr:col>2</xdr:col>
      <xdr:colOff>571500</xdr:colOff>
      <xdr:row>39</xdr:row>
      <xdr:rowOff>38100</xdr:rowOff>
    </xdr:to>
    <xdr:sp macro="" textlink="">
      <xdr:nvSpPr>
        <xdr:cNvPr id="7" name="Rectangle: Rounded Corners 6">
          <a:extLst>
            <a:ext uri="{FF2B5EF4-FFF2-40B4-BE49-F238E27FC236}">
              <a16:creationId xmlns:a16="http://schemas.microsoft.com/office/drawing/2014/main" id="{B03583ED-66A8-766D-56B9-C79CC8DCABA4}"/>
            </a:ext>
          </a:extLst>
        </xdr:cNvPr>
        <xdr:cNvSpPr/>
      </xdr:nvSpPr>
      <xdr:spPr>
        <a:xfrm>
          <a:off x="106680" y="6057900"/>
          <a:ext cx="1684020" cy="111252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100" b="1"/>
            <a:t>AVG. OF CAREER ANXIETY LEVEL</a:t>
          </a:r>
        </a:p>
      </xdr:txBody>
    </xdr:sp>
    <xdr:clientData/>
  </xdr:twoCellAnchor>
  <xdr:twoCellAnchor>
    <xdr:from>
      <xdr:col>3</xdr:col>
      <xdr:colOff>91440</xdr:colOff>
      <xdr:row>4</xdr:row>
      <xdr:rowOff>30480</xdr:rowOff>
    </xdr:from>
    <xdr:to>
      <xdr:col>6</xdr:col>
      <xdr:colOff>198120</xdr:colOff>
      <xdr:row>14</xdr:row>
      <xdr:rowOff>7620</xdr:rowOff>
    </xdr:to>
    <xdr:sp macro="" textlink="">
      <xdr:nvSpPr>
        <xdr:cNvPr id="8" name="Rectangle 7">
          <a:extLst>
            <a:ext uri="{FF2B5EF4-FFF2-40B4-BE49-F238E27FC236}">
              <a16:creationId xmlns:a16="http://schemas.microsoft.com/office/drawing/2014/main" id="{639D90CB-2779-9B61-DC33-B9573D3C1DE1}"/>
            </a:ext>
          </a:extLst>
        </xdr:cNvPr>
        <xdr:cNvSpPr/>
      </xdr:nvSpPr>
      <xdr:spPr>
        <a:xfrm>
          <a:off x="1920240" y="762000"/>
          <a:ext cx="1935480" cy="1805940"/>
        </a:xfrm>
        <a:prstGeom prst="rect">
          <a:avLst/>
        </a:prstGeom>
        <a:effectLst>
          <a:glow rad="139700">
            <a:schemeClr val="accent3">
              <a:satMod val="175000"/>
              <a:alpha val="40000"/>
            </a:schemeClr>
          </a:glow>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175260</xdr:colOff>
      <xdr:row>4</xdr:row>
      <xdr:rowOff>30480</xdr:rowOff>
    </xdr:from>
    <xdr:to>
      <xdr:col>10</xdr:col>
      <xdr:colOff>281940</xdr:colOff>
      <xdr:row>14</xdr:row>
      <xdr:rowOff>7620</xdr:rowOff>
    </xdr:to>
    <xdr:sp macro="" textlink="">
      <xdr:nvSpPr>
        <xdr:cNvPr id="9" name="Rectangle 8">
          <a:extLst>
            <a:ext uri="{FF2B5EF4-FFF2-40B4-BE49-F238E27FC236}">
              <a16:creationId xmlns:a16="http://schemas.microsoft.com/office/drawing/2014/main" id="{276D7A76-B9AA-AA54-899E-85B29D922941}"/>
            </a:ext>
          </a:extLst>
        </xdr:cNvPr>
        <xdr:cNvSpPr/>
      </xdr:nvSpPr>
      <xdr:spPr>
        <a:xfrm>
          <a:off x="4442460" y="762000"/>
          <a:ext cx="1935480" cy="1805940"/>
        </a:xfrm>
        <a:prstGeom prst="rect">
          <a:avLst/>
        </a:prstGeom>
        <a:effectLst>
          <a:glow rad="139700">
            <a:schemeClr val="accent3">
              <a:satMod val="175000"/>
              <a:alpha val="40000"/>
            </a:schemeClr>
          </a:glow>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11</xdr:col>
      <xdr:colOff>22860</xdr:colOff>
      <xdr:row>4</xdr:row>
      <xdr:rowOff>38100</xdr:rowOff>
    </xdr:from>
    <xdr:to>
      <xdr:col>14</xdr:col>
      <xdr:colOff>129540</xdr:colOff>
      <xdr:row>14</xdr:row>
      <xdr:rowOff>15240</xdr:rowOff>
    </xdr:to>
    <xdr:sp macro="" textlink="">
      <xdr:nvSpPr>
        <xdr:cNvPr id="10" name="Rectangle 9">
          <a:extLst>
            <a:ext uri="{FF2B5EF4-FFF2-40B4-BE49-F238E27FC236}">
              <a16:creationId xmlns:a16="http://schemas.microsoft.com/office/drawing/2014/main" id="{33E628E5-48EA-E46B-9B65-139D1BC50A65}"/>
            </a:ext>
          </a:extLst>
        </xdr:cNvPr>
        <xdr:cNvSpPr/>
      </xdr:nvSpPr>
      <xdr:spPr>
        <a:xfrm>
          <a:off x="6728460" y="769620"/>
          <a:ext cx="1935480" cy="1805940"/>
        </a:xfrm>
        <a:prstGeom prst="rect">
          <a:avLst/>
        </a:prstGeom>
        <a:effectLst>
          <a:glow rad="139700">
            <a:schemeClr val="accent3">
              <a:satMod val="175000"/>
              <a:alpha val="40000"/>
            </a:schemeClr>
          </a:glow>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14</xdr:col>
      <xdr:colOff>457200</xdr:colOff>
      <xdr:row>4</xdr:row>
      <xdr:rowOff>30480</xdr:rowOff>
    </xdr:from>
    <xdr:to>
      <xdr:col>17</xdr:col>
      <xdr:colOff>563880</xdr:colOff>
      <xdr:row>14</xdr:row>
      <xdr:rowOff>7620</xdr:rowOff>
    </xdr:to>
    <xdr:sp macro="" textlink="">
      <xdr:nvSpPr>
        <xdr:cNvPr id="11" name="Rectangle 10">
          <a:extLst>
            <a:ext uri="{FF2B5EF4-FFF2-40B4-BE49-F238E27FC236}">
              <a16:creationId xmlns:a16="http://schemas.microsoft.com/office/drawing/2014/main" id="{7D308566-C0F3-27B3-3905-1A943BBEB282}"/>
            </a:ext>
          </a:extLst>
        </xdr:cNvPr>
        <xdr:cNvSpPr/>
      </xdr:nvSpPr>
      <xdr:spPr>
        <a:xfrm>
          <a:off x="8991600" y="762000"/>
          <a:ext cx="1935480" cy="1805940"/>
        </a:xfrm>
        <a:prstGeom prst="rect">
          <a:avLst/>
        </a:prstGeom>
        <a:effectLst>
          <a:glow rad="139700">
            <a:schemeClr val="accent3">
              <a:satMod val="175000"/>
              <a:alpha val="40000"/>
            </a:schemeClr>
          </a:glow>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18</xdr:col>
      <xdr:colOff>556260</xdr:colOff>
      <xdr:row>4</xdr:row>
      <xdr:rowOff>76200</xdr:rowOff>
    </xdr:from>
    <xdr:to>
      <xdr:col>22</xdr:col>
      <xdr:colOff>53340</xdr:colOff>
      <xdr:row>10</xdr:row>
      <xdr:rowOff>106680</xdr:rowOff>
    </xdr:to>
    <xdr:sp macro="" textlink="">
      <xdr:nvSpPr>
        <xdr:cNvPr id="12" name="Rectangle 11">
          <a:extLst>
            <a:ext uri="{FF2B5EF4-FFF2-40B4-BE49-F238E27FC236}">
              <a16:creationId xmlns:a16="http://schemas.microsoft.com/office/drawing/2014/main" id="{D05B5855-427F-8815-6B26-360D61CED534}"/>
            </a:ext>
          </a:extLst>
        </xdr:cNvPr>
        <xdr:cNvSpPr/>
      </xdr:nvSpPr>
      <xdr:spPr>
        <a:xfrm>
          <a:off x="11529060" y="807720"/>
          <a:ext cx="1935480" cy="1127760"/>
        </a:xfrm>
        <a:prstGeom prst="rect">
          <a:avLst/>
        </a:prstGeom>
        <a:effectLst>
          <a:glow rad="139700">
            <a:schemeClr val="accent3">
              <a:satMod val="175000"/>
              <a:alpha val="40000"/>
            </a:schemeClr>
          </a:glow>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297180</xdr:colOff>
      <xdr:row>15</xdr:row>
      <xdr:rowOff>148590</xdr:rowOff>
    </xdr:from>
    <xdr:to>
      <xdr:col>8</xdr:col>
      <xdr:colOff>106680</xdr:colOff>
      <xdr:row>28</xdr:row>
      <xdr:rowOff>95250</xdr:rowOff>
    </xdr:to>
    <xdr:sp macro="" textlink="">
      <xdr:nvSpPr>
        <xdr:cNvPr id="13" name="Rectangle 12">
          <a:extLst>
            <a:ext uri="{FF2B5EF4-FFF2-40B4-BE49-F238E27FC236}">
              <a16:creationId xmlns:a16="http://schemas.microsoft.com/office/drawing/2014/main" id="{67739BFA-1A77-C7BE-AB70-98D012E926B5}"/>
            </a:ext>
          </a:extLst>
        </xdr:cNvPr>
        <xdr:cNvSpPr/>
      </xdr:nvSpPr>
      <xdr:spPr>
        <a:xfrm>
          <a:off x="2125980" y="2891790"/>
          <a:ext cx="2857500" cy="23241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b="1"/>
            <a:t>LIVING TYPE BY RULE</a:t>
          </a:r>
        </a:p>
      </xdr:txBody>
    </xdr:sp>
    <xdr:clientData/>
  </xdr:twoCellAnchor>
  <xdr:twoCellAnchor>
    <xdr:from>
      <xdr:col>8</xdr:col>
      <xdr:colOff>241300</xdr:colOff>
      <xdr:row>15</xdr:row>
      <xdr:rowOff>148590</xdr:rowOff>
    </xdr:from>
    <xdr:to>
      <xdr:col>13</xdr:col>
      <xdr:colOff>50800</xdr:colOff>
      <xdr:row>28</xdr:row>
      <xdr:rowOff>95250</xdr:rowOff>
    </xdr:to>
    <xdr:sp macro="" textlink="">
      <xdr:nvSpPr>
        <xdr:cNvPr id="14" name="Rectangle 13">
          <a:extLst>
            <a:ext uri="{FF2B5EF4-FFF2-40B4-BE49-F238E27FC236}">
              <a16:creationId xmlns:a16="http://schemas.microsoft.com/office/drawing/2014/main" id="{E1BE9F5B-C3F6-6EE7-2886-9B8D44D7AF4F}"/>
            </a:ext>
          </a:extLst>
        </xdr:cNvPr>
        <xdr:cNvSpPr/>
      </xdr:nvSpPr>
      <xdr:spPr>
        <a:xfrm>
          <a:off x="5118100" y="2891790"/>
          <a:ext cx="2857500" cy="23241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b="1"/>
            <a:t>CLUB PARTICIPATION BY ATTANDANCE AND CGPA</a:t>
          </a:r>
        </a:p>
      </xdr:txBody>
    </xdr:sp>
    <xdr:clientData/>
  </xdr:twoCellAnchor>
  <xdr:twoCellAnchor>
    <xdr:from>
      <xdr:col>13</xdr:col>
      <xdr:colOff>185420</xdr:colOff>
      <xdr:row>15</xdr:row>
      <xdr:rowOff>148590</xdr:rowOff>
    </xdr:from>
    <xdr:to>
      <xdr:col>17</xdr:col>
      <xdr:colOff>604520</xdr:colOff>
      <xdr:row>28</xdr:row>
      <xdr:rowOff>95250</xdr:rowOff>
    </xdr:to>
    <xdr:sp macro="" textlink="">
      <xdr:nvSpPr>
        <xdr:cNvPr id="15" name="Rectangle 14">
          <a:extLst>
            <a:ext uri="{FF2B5EF4-FFF2-40B4-BE49-F238E27FC236}">
              <a16:creationId xmlns:a16="http://schemas.microsoft.com/office/drawing/2014/main" id="{F7852552-67E7-FB7B-29C3-13BEE1600698}"/>
            </a:ext>
          </a:extLst>
        </xdr:cNvPr>
        <xdr:cNvSpPr/>
      </xdr:nvSpPr>
      <xdr:spPr>
        <a:xfrm>
          <a:off x="8110220" y="2891790"/>
          <a:ext cx="2857500" cy="23241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b="1"/>
            <a:t>ATTANDANCE BY YEAR</a:t>
          </a:r>
        </a:p>
      </xdr:txBody>
    </xdr:sp>
    <xdr:clientData/>
  </xdr:twoCellAnchor>
  <xdr:twoCellAnchor>
    <xdr:from>
      <xdr:col>18</xdr:col>
      <xdr:colOff>129540</xdr:colOff>
      <xdr:row>11</xdr:row>
      <xdr:rowOff>38100</xdr:rowOff>
    </xdr:from>
    <xdr:to>
      <xdr:col>22</xdr:col>
      <xdr:colOff>548640</xdr:colOff>
      <xdr:row>28</xdr:row>
      <xdr:rowOff>95250</xdr:rowOff>
    </xdr:to>
    <xdr:sp macro="" textlink="">
      <xdr:nvSpPr>
        <xdr:cNvPr id="16" name="Rectangle 15">
          <a:extLst>
            <a:ext uri="{FF2B5EF4-FFF2-40B4-BE49-F238E27FC236}">
              <a16:creationId xmlns:a16="http://schemas.microsoft.com/office/drawing/2014/main" id="{F86D278D-C51F-6BE7-FA6F-0EC7309FC4B3}"/>
            </a:ext>
          </a:extLst>
        </xdr:cNvPr>
        <xdr:cNvSpPr/>
      </xdr:nvSpPr>
      <xdr:spPr>
        <a:xfrm>
          <a:off x="11102340" y="2049780"/>
          <a:ext cx="2857500" cy="316611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b="1"/>
            <a:t>TOP SCORER BY GENDER &amp; YEARS</a:t>
          </a:r>
        </a:p>
      </xdr:txBody>
    </xdr:sp>
    <xdr:clientData/>
  </xdr:twoCellAnchor>
  <xdr:twoCellAnchor>
    <xdr:from>
      <xdr:col>3</xdr:col>
      <xdr:colOff>297180</xdr:colOff>
      <xdr:row>29</xdr:row>
      <xdr:rowOff>45720</xdr:rowOff>
    </xdr:from>
    <xdr:to>
      <xdr:col>22</xdr:col>
      <xdr:colOff>487680</xdr:colOff>
      <xdr:row>39</xdr:row>
      <xdr:rowOff>7620</xdr:rowOff>
    </xdr:to>
    <xdr:sp macro="" textlink="">
      <xdr:nvSpPr>
        <xdr:cNvPr id="19" name="Rectangle 18">
          <a:extLst>
            <a:ext uri="{FF2B5EF4-FFF2-40B4-BE49-F238E27FC236}">
              <a16:creationId xmlns:a16="http://schemas.microsoft.com/office/drawing/2014/main" id="{9F74CAFE-B3C8-1AEC-B599-C368C2A1B6B1}"/>
            </a:ext>
          </a:extLst>
        </xdr:cNvPr>
        <xdr:cNvSpPr/>
      </xdr:nvSpPr>
      <xdr:spPr>
        <a:xfrm>
          <a:off x="2125980" y="5349240"/>
          <a:ext cx="11772900" cy="17907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b="1"/>
            <a:t>CGPA BY FIELD</a:t>
          </a:r>
          <a:r>
            <a:rPr lang="en-IN" sz="1100" b="1" baseline="0"/>
            <a:t> OF STUDY &amp; YEAR</a:t>
          </a:r>
          <a:endParaRPr lang="en-IN" sz="1100" b="1"/>
        </a:p>
      </xdr:txBody>
    </xdr:sp>
    <xdr:clientData/>
  </xdr:twoCellAnchor>
  <xdr:twoCellAnchor>
    <xdr:from>
      <xdr:col>3</xdr:col>
      <xdr:colOff>350520</xdr:colOff>
      <xdr:row>17</xdr:row>
      <xdr:rowOff>53340</xdr:rowOff>
    </xdr:from>
    <xdr:to>
      <xdr:col>8</xdr:col>
      <xdr:colOff>106680</xdr:colOff>
      <xdr:row>28</xdr:row>
      <xdr:rowOff>83820</xdr:rowOff>
    </xdr:to>
    <xdr:graphicFrame macro="">
      <xdr:nvGraphicFramePr>
        <xdr:cNvPr id="24" name="Chart 23">
          <a:extLst>
            <a:ext uri="{FF2B5EF4-FFF2-40B4-BE49-F238E27FC236}">
              <a16:creationId xmlns:a16="http://schemas.microsoft.com/office/drawing/2014/main" id="{47CCBD3A-1919-479D-BBDE-CCDE9BD92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17</xdr:row>
      <xdr:rowOff>60960</xdr:rowOff>
    </xdr:from>
    <xdr:to>
      <xdr:col>13</xdr:col>
      <xdr:colOff>45720</xdr:colOff>
      <xdr:row>28</xdr:row>
      <xdr:rowOff>99060</xdr:rowOff>
    </xdr:to>
    <xdr:graphicFrame macro="">
      <xdr:nvGraphicFramePr>
        <xdr:cNvPr id="25" name="Chart 24">
          <a:extLst>
            <a:ext uri="{FF2B5EF4-FFF2-40B4-BE49-F238E27FC236}">
              <a16:creationId xmlns:a16="http://schemas.microsoft.com/office/drawing/2014/main" id="{E944D5A6-887D-4620-BF7E-CEB8E0620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30</xdr:row>
      <xdr:rowOff>144780</xdr:rowOff>
    </xdr:from>
    <xdr:to>
      <xdr:col>22</xdr:col>
      <xdr:colOff>449580</xdr:colOff>
      <xdr:row>39</xdr:row>
      <xdr:rowOff>30480</xdr:rowOff>
    </xdr:to>
    <xdr:graphicFrame macro="">
      <xdr:nvGraphicFramePr>
        <xdr:cNvPr id="26" name="Chart 25">
          <a:extLst>
            <a:ext uri="{FF2B5EF4-FFF2-40B4-BE49-F238E27FC236}">
              <a16:creationId xmlns:a16="http://schemas.microsoft.com/office/drawing/2014/main" id="{4A4796D5-741E-4EEF-AD27-9568AD772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152400</xdr:colOff>
      <xdr:row>13</xdr:row>
      <xdr:rowOff>22860</xdr:rowOff>
    </xdr:from>
    <xdr:to>
      <xdr:col>22</xdr:col>
      <xdr:colOff>541020</xdr:colOff>
      <xdr:row>28</xdr:row>
      <xdr:rowOff>129540</xdr:rowOff>
    </xdr:to>
    <xdr:graphicFrame macro="">
      <xdr:nvGraphicFramePr>
        <xdr:cNvPr id="27" name="Chart 26">
          <a:extLst>
            <a:ext uri="{FF2B5EF4-FFF2-40B4-BE49-F238E27FC236}">
              <a16:creationId xmlns:a16="http://schemas.microsoft.com/office/drawing/2014/main" id="{028FE508-6EC6-45DE-9670-0E01BD223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182880</xdr:colOff>
      <xdr:row>17</xdr:row>
      <xdr:rowOff>152400</xdr:rowOff>
    </xdr:from>
    <xdr:to>
      <xdr:col>17</xdr:col>
      <xdr:colOff>594360</xdr:colOff>
      <xdr:row>28</xdr:row>
      <xdr:rowOff>91440</xdr:rowOff>
    </xdr:to>
    <xdr:graphicFrame macro="">
      <xdr:nvGraphicFramePr>
        <xdr:cNvPr id="28" name="Chart 27">
          <a:extLst>
            <a:ext uri="{FF2B5EF4-FFF2-40B4-BE49-F238E27FC236}">
              <a16:creationId xmlns:a16="http://schemas.microsoft.com/office/drawing/2014/main" id="{D96E8B37-810C-47C4-BD02-08D097AB5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22860</xdr:colOff>
      <xdr:row>4</xdr:row>
      <xdr:rowOff>144780</xdr:rowOff>
    </xdr:from>
    <xdr:to>
      <xdr:col>22</xdr:col>
      <xdr:colOff>0</xdr:colOff>
      <xdr:row>10</xdr:row>
      <xdr:rowOff>30480</xdr:rowOff>
    </xdr:to>
    <mc:AlternateContent xmlns:mc="http://schemas.openxmlformats.org/markup-compatibility/2006" xmlns:a14="http://schemas.microsoft.com/office/drawing/2010/main">
      <mc:Choice Requires="a14">
        <xdr:graphicFrame macro="">
          <xdr:nvGraphicFramePr>
            <xdr:cNvPr id="29" name="Gender 1">
              <a:extLst>
                <a:ext uri="{FF2B5EF4-FFF2-40B4-BE49-F238E27FC236}">
                  <a16:creationId xmlns:a16="http://schemas.microsoft.com/office/drawing/2014/main" id="{B0846F80-F46E-40D8-BA5B-CAC4C69116D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605260" y="876300"/>
              <a:ext cx="180594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205740</xdr:colOff>
      <xdr:row>4</xdr:row>
      <xdr:rowOff>123295</xdr:rowOff>
    </xdr:from>
    <xdr:to>
      <xdr:col>6</xdr:col>
      <xdr:colOff>274320</xdr:colOff>
      <xdr:row>14</xdr:row>
      <xdr:rowOff>53340</xdr:rowOff>
    </xdr:to>
    <mc:AlternateContent xmlns:mc="http://schemas.openxmlformats.org/markup-compatibility/2006" xmlns:a14="http://schemas.microsoft.com/office/drawing/2010/main">
      <mc:Choice Requires="a14">
        <xdr:graphicFrame macro="">
          <xdr:nvGraphicFramePr>
            <xdr:cNvPr id="30" name="Course 1">
              <a:extLst>
                <a:ext uri="{FF2B5EF4-FFF2-40B4-BE49-F238E27FC236}">
                  <a16:creationId xmlns:a16="http://schemas.microsoft.com/office/drawing/2014/main" id="{4FE383C9-CE3D-4D43-8949-34AD6FD9FED6}"/>
                </a:ext>
              </a:extLst>
            </xdr:cNvPr>
            <xdr:cNvGraphicFramePr/>
          </xdr:nvGraphicFramePr>
          <xdr:xfrm>
            <a:off x="0" y="0"/>
            <a:ext cx="0" cy="0"/>
          </xdr:xfrm>
          <a:graphic>
            <a:graphicData uri="http://schemas.microsoft.com/office/drawing/2010/slicer">
              <sle:slicer xmlns:sle="http://schemas.microsoft.com/office/drawing/2010/slicer" name="Course 1"/>
            </a:graphicData>
          </a:graphic>
        </xdr:graphicFrame>
      </mc:Choice>
      <mc:Fallback xmlns="">
        <xdr:sp macro="" textlink="">
          <xdr:nvSpPr>
            <xdr:cNvPr id="0" name=""/>
            <xdr:cNvSpPr>
              <a:spLocks noTextEdit="1"/>
            </xdr:cNvSpPr>
          </xdr:nvSpPr>
          <xdr:spPr>
            <a:xfrm>
              <a:off x="2034540" y="854815"/>
              <a:ext cx="1897380" cy="1758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251460</xdr:colOff>
      <xdr:row>4</xdr:row>
      <xdr:rowOff>117929</xdr:rowOff>
    </xdr:from>
    <xdr:to>
      <xdr:col>10</xdr:col>
      <xdr:colOff>251460</xdr:colOff>
      <xdr:row>14</xdr:row>
      <xdr:rowOff>68580</xdr:rowOff>
    </xdr:to>
    <mc:AlternateContent xmlns:mc="http://schemas.openxmlformats.org/markup-compatibility/2006" xmlns:a14="http://schemas.microsoft.com/office/drawing/2010/main">
      <mc:Choice Requires="a14">
        <xdr:graphicFrame macro="">
          <xdr:nvGraphicFramePr>
            <xdr:cNvPr id="31" name="Living_Type 1">
              <a:extLst>
                <a:ext uri="{FF2B5EF4-FFF2-40B4-BE49-F238E27FC236}">
                  <a16:creationId xmlns:a16="http://schemas.microsoft.com/office/drawing/2014/main" id="{97669D8B-59C5-49A7-B56B-19B79130AA9B}"/>
                </a:ext>
              </a:extLst>
            </xdr:cNvPr>
            <xdr:cNvGraphicFramePr/>
          </xdr:nvGraphicFramePr>
          <xdr:xfrm>
            <a:off x="0" y="0"/>
            <a:ext cx="0" cy="0"/>
          </xdr:xfrm>
          <a:graphic>
            <a:graphicData uri="http://schemas.microsoft.com/office/drawing/2010/slicer">
              <sle:slicer xmlns:sle="http://schemas.microsoft.com/office/drawing/2010/slicer" name="Living_Type 1"/>
            </a:graphicData>
          </a:graphic>
        </xdr:graphicFrame>
      </mc:Choice>
      <mc:Fallback xmlns="">
        <xdr:sp macro="" textlink="">
          <xdr:nvSpPr>
            <xdr:cNvPr id="0" name=""/>
            <xdr:cNvSpPr>
              <a:spLocks noTextEdit="1"/>
            </xdr:cNvSpPr>
          </xdr:nvSpPr>
          <xdr:spPr>
            <a:xfrm>
              <a:off x="4518660" y="849449"/>
              <a:ext cx="1828800" cy="1779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586740</xdr:colOff>
      <xdr:row>4</xdr:row>
      <xdr:rowOff>143752</xdr:rowOff>
    </xdr:from>
    <xdr:to>
      <xdr:col>17</xdr:col>
      <xdr:colOff>586740</xdr:colOff>
      <xdr:row>14</xdr:row>
      <xdr:rowOff>53340</xdr:rowOff>
    </xdr:to>
    <mc:AlternateContent xmlns:mc="http://schemas.openxmlformats.org/markup-compatibility/2006" xmlns:a14="http://schemas.microsoft.com/office/drawing/2010/main">
      <mc:Choice Requires="a14">
        <xdr:graphicFrame macro="">
          <xdr:nvGraphicFramePr>
            <xdr:cNvPr id="32" name="Club_Participation 1">
              <a:extLst>
                <a:ext uri="{FF2B5EF4-FFF2-40B4-BE49-F238E27FC236}">
                  <a16:creationId xmlns:a16="http://schemas.microsoft.com/office/drawing/2014/main" id="{4ACE5B9A-08D0-4B0E-80F2-6128B7862F48}"/>
                </a:ext>
              </a:extLst>
            </xdr:cNvPr>
            <xdr:cNvGraphicFramePr/>
          </xdr:nvGraphicFramePr>
          <xdr:xfrm>
            <a:off x="0" y="0"/>
            <a:ext cx="0" cy="0"/>
          </xdr:xfrm>
          <a:graphic>
            <a:graphicData uri="http://schemas.microsoft.com/office/drawing/2010/slicer">
              <sle:slicer xmlns:sle="http://schemas.microsoft.com/office/drawing/2010/slicer" name="Club_Participation 1"/>
            </a:graphicData>
          </a:graphic>
        </xdr:graphicFrame>
      </mc:Choice>
      <mc:Fallback xmlns="">
        <xdr:sp macro="" textlink="">
          <xdr:nvSpPr>
            <xdr:cNvPr id="0" name=""/>
            <xdr:cNvSpPr>
              <a:spLocks noTextEdit="1"/>
            </xdr:cNvSpPr>
          </xdr:nvSpPr>
          <xdr:spPr>
            <a:xfrm>
              <a:off x="9121140" y="875272"/>
              <a:ext cx="1828800" cy="1738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175260</xdr:colOff>
      <xdr:row>4</xdr:row>
      <xdr:rowOff>114301</xdr:rowOff>
    </xdr:from>
    <xdr:to>
      <xdr:col>14</xdr:col>
      <xdr:colOff>175260</xdr:colOff>
      <xdr:row>14</xdr:row>
      <xdr:rowOff>1</xdr:rowOff>
    </xdr:to>
    <mc:AlternateContent xmlns:mc="http://schemas.openxmlformats.org/markup-compatibility/2006" xmlns:a14="http://schemas.microsoft.com/office/drawing/2010/main">
      <mc:Choice Requires="a14">
        <xdr:graphicFrame macro="">
          <xdr:nvGraphicFramePr>
            <xdr:cNvPr id="33" name="Year_of_Study 1">
              <a:extLst>
                <a:ext uri="{FF2B5EF4-FFF2-40B4-BE49-F238E27FC236}">
                  <a16:creationId xmlns:a16="http://schemas.microsoft.com/office/drawing/2014/main" id="{07282203-AEA3-40D0-85B9-AEC0FA244447}"/>
                </a:ext>
              </a:extLst>
            </xdr:cNvPr>
            <xdr:cNvGraphicFramePr/>
          </xdr:nvGraphicFramePr>
          <xdr:xfrm>
            <a:off x="0" y="0"/>
            <a:ext cx="0" cy="0"/>
          </xdr:xfrm>
          <a:graphic>
            <a:graphicData uri="http://schemas.microsoft.com/office/drawing/2010/slicer">
              <sle:slicer xmlns:sle="http://schemas.microsoft.com/office/drawing/2010/slicer" name="Year_of_Study 1"/>
            </a:graphicData>
          </a:graphic>
        </xdr:graphicFrame>
      </mc:Choice>
      <mc:Fallback xmlns="">
        <xdr:sp macro="" textlink="">
          <xdr:nvSpPr>
            <xdr:cNvPr id="0" name=""/>
            <xdr:cNvSpPr>
              <a:spLocks noTextEdit="1"/>
            </xdr:cNvSpPr>
          </xdr:nvSpPr>
          <xdr:spPr>
            <a:xfrm>
              <a:off x="6880860" y="859125"/>
              <a:ext cx="1828800" cy="1701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541020</xdr:colOff>
      <xdr:row>5</xdr:row>
      <xdr:rowOff>167640</xdr:rowOff>
    </xdr:from>
    <xdr:to>
      <xdr:col>2</xdr:col>
      <xdr:colOff>60960</xdr:colOff>
      <xdr:row>9</xdr:row>
      <xdr:rowOff>60960</xdr:rowOff>
    </xdr:to>
    <xdr:sp macro="" textlink="'kpis &amp; slicers'!$A$6">
      <xdr:nvSpPr>
        <xdr:cNvPr id="34" name="Oval 33">
          <a:extLst>
            <a:ext uri="{FF2B5EF4-FFF2-40B4-BE49-F238E27FC236}">
              <a16:creationId xmlns:a16="http://schemas.microsoft.com/office/drawing/2014/main" id="{5F1CB892-05E3-7A59-1CB2-943E7A621D80}"/>
            </a:ext>
          </a:extLst>
        </xdr:cNvPr>
        <xdr:cNvSpPr/>
      </xdr:nvSpPr>
      <xdr:spPr>
        <a:xfrm>
          <a:off x="541020" y="1082040"/>
          <a:ext cx="739140" cy="62484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4F14779-D0A8-49B0-A3E7-E0F21FBCE70D}" type="TxLink">
            <a:rPr lang="en-US" sz="1600" b="1" i="1" u="none" strike="noStrike">
              <a:solidFill>
                <a:srgbClr val="000000"/>
              </a:solidFill>
              <a:latin typeface="Calibri"/>
              <a:ea typeface="Calibri"/>
              <a:cs typeface="Calibri"/>
            </a:rPr>
            <a:pPr algn="ctr"/>
            <a:t>7.0</a:t>
          </a:fld>
          <a:endParaRPr lang="en-IN" sz="1600" b="1" i="1"/>
        </a:p>
      </xdr:txBody>
    </xdr:sp>
    <xdr:clientData/>
  </xdr:twoCellAnchor>
  <xdr:twoCellAnchor>
    <xdr:from>
      <xdr:col>0</xdr:col>
      <xdr:colOff>533400</xdr:colOff>
      <xdr:row>13</xdr:row>
      <xdr:rowOff>129540</xdr:rowOff>
    </xdr:from>
    <xdr:to>
      <xdr:col>2</xdr:col>
      <xdr:colOff>53340</xdr:colOff>
      <xdr:row>17</xdr:row>
      <xdr:rowOff>22860</xdr:rowOff>
    </xdr:to>
    <xdr:sp macro="" textlink="'kpis &amp; slicers'!$B$6">
      <xdr:nvSpPr>
        <xdr:cNvPr id="35" name="Oval 34">
          <a:extLst>
            <a:ext uri="{FF2B5EF4-FFF2-40B4-BE49-F238E27FC236}">
              <a16:creationId xmlns:a16="http://schemas.microsoft.com/office/drawing/2014/main" id="{A82E77D1-BAA7-7EE9-32C0-60F812022D3C}"/>
            </a:ext>
          </a:extLst>
        </xdr:cNvPr>
        <xdr:cNvSpPr/>
      </xdr:nvSpPr>
      <xdr:spPr>
        <a:xfrm>
          <a:off x="533400" y="2506980"/>
          <a:ext cx="739140" cy="62484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80AA9C9-CF42-4717-8CF2-C32C100B776E}" type="TxLink">
            <a:rPr lang="en-US" sz="1400" b="1" i="1" u="none" strike="noStrike">
              <a:solidFill>
                <a:srgbClr val="000000"/>
              </a:solidFill>
              <a:latin typeface="Calibri"/>
              <a:ea typeface="Calibri"/>
              <a:cs typeface="Calibri"/>
            </a:rPr>
            <a:pPr algn="ctr"/>
            <a:t>74.6</a:t>
          </a:fld>
          <a:endParaRPr lang="en-IN" sz="1400" b="1" i="1"/>
        </a:p>
      </xdr:txBody>
    </xdr:sp>
    <xdr:clientData/>
  </xdr:twoCellAnchor>
  <xdr:twoCellAnchor>
    <xdr:from>
      <xdr:col>0</xdr:col>
      <xdr:colOff>541020</xdr:colOff>
      <xdr:row>20</xdr:row>
      <xdr:rowOff>167640</xdr:rowOff>
    </xdr:from>
    <xdr:to>
      <xdr:col>2</xdr:col>
      <xdr:colOff>60960</xdr:colOff>
      <xdr:row>24</xdr:row>
      <xdr:rowOff>60960</xdr:rowOff>
    </xdr:to>
    <xdr:sp macro="" textlink="'kpis &amp; slicers'!$C$6">
      <xdr:nvSpPr>
        <xdr:cNvPr id="36" name="Oval 35">
          <a:extLst>
            <a:ext uri="{FF2B5EF4-FFF2-40B4-BE49-F238E27FC236}">
              <a16:creationId xmlns:a16="http://schemas.microsoft.com/office/drawing/2014/main" id="{28D15006-B91F-C6DD-7FF3-9493F7FCF7C6}"/>
            </a:ext>
          </a:extLst>
        </xdr:cNvPr>
        <xdr:cNvSpPr/>
      </xdr:nvSpPr>
      <xdr:spPr>
        <a:xfrm>
          <a:off x="541020" y="3825240"/>
          <a:ext cx="739140" cy="62484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B43EE73-5E7C-4A44-9D4D-506D99B02B0C}" type="TxLink">
            <a:rPr lang="en-US" sz="1400" b="1" i="1" u="none" strike="noStrike">
              <a:solidFill>
                <a:srgbClr val="000000"/>
              </a:solidFill>
              <a:latin typeface="Calibri"/>
              <a:ea typeface="Calibri"/>
              <a:cs typeface="Calibri"/>
            </a:rPr>
            <a:pPr algn="ctr"/>
            <a:t>6.8</a:t>
          </a:fld>
          <a:endParaRPr lang="en-IN" sz="1400" b="1" i="1"/>
        </a:p>
      </xdr:txBody>
    </xdr:sp>
    <xdr:clientData/>
  </xdr:twoCellAnchor>
  <xdr:twoCellAnchor>
    <xdr:from>
      <xdr:col>0</xdr:col>
      <xdr:colOff>525780</xdr:colOff>
      <xdr:row>28</xdr:row>
      <xdr:rowOff>99060</xdr:rowOff>
    </xdr:from>
    <xdr:to>
      <xdr:col>2</xdr:col>
      <xdr:colOff>45720</xdr:colOff>
      <xdr:row>31</xdr:row>
      <xdr:rowOff>175260</xdr:rowOff>
    </xdr:to>
    <xdr:sp macro="" textlink="'kpis &amp; slicers'!$D$6">
      <xdr:nvSpPr>
        <xdr:cNvPr id="37" name="Oval 36">
          <a:extLst>
            <a:ext uri="{FF2B5EF4-FFF2-40B4-BE49-F238E27FC236}">
              <a16:creationId xmlns:a16="http://schemas.microsoft.com/office/drawing/2014/main" id="{EF4BD940-16BD-2448-A5D4-21B31A02CDCE}"/>
            </a:ext>
          </a:extLst>
        </xdr:cNvPr>
        <xdr:cNvSpPr/>
      </xdr:nvSpPr>
      <xdr:spPr>
        <a:xfrm>
          <a:off x="525780" y="5219700"/>
          <a:ext cx="739140" cy="62484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4068F1C-6A77-4501-9837-AE1814521B61}" type="TxLink">
            <a:rPr lang="en-US" sz="1400" b="1" i="1" u="none" strike="noStrike">
              <a:solidFill>
                <a:srgbClr val="000000"/>
              </a:solidFill>
              <a:latin typeface="Calibri"/>
              <a:ea typeface="Calibri"/>
              <a:cs typeface="Calibri"/>
            </a:rPr>
            <a:pPr algn="ctr"/>
            <a:t>4.5</a:t>
          </a:fld>
          <a:endParaRPr lang="en-IN" sz="1400" b="1" i="1"/>
        </a:p>
      </xdr:txBody>
    </xdr:sp>
    <xdr:clientData/>
  </xdr:twoCellAnchor>
  <xdr:twoCellAnchor>
    <xdr:from>
      <xdr:col>0</xdr:col>
      <xdr:colOff>601980</xdr:colOff>
      <xdr:row>35</xdr:row>
      <xdr:rowOff>137160</xdr:rowOff>
    </xdr:from>
    <xdr:to>
      <xdr:col>2</xdr:col>
      <xdr:colOff>121920</xdr:colOff>
      <xdr:row>39</xdr:row>
      <xdr:rowOff>30480</xdr:rowOff>
    </xdr:to>
    <xdr:sp macro="" textlink="'kpis &amp; slicers'!$E$6">
      <xdr:nvSpPr>
        <xdr:cNvPr id="38" name="Oval 37">
          <a:extLst>
            <a:ext uri="{FF2B5EF4-FFF2-40B4-BE49-F238E27FC236}">
              <a16:creationId xmlns:a16="http://schemas.microsoft.com/office/drawing/2014/main" id="{D914A83A-75D6-E770-6D0E-B19EAFED1F0F}"/>
            </a:ext>
          </a:extLst>
        </xdr:cNvPr>
        <xdr:cNvSpPr/>
      </xdr:nvSpPr>
      <xdr:spPr>
        <a:xfrm>
          <a:off x="601980" y="6537960"/>
          <a:ext cx="739140" cy="62484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8003320-CF8F-4BA6-9B42-E1BE1BADF41C}" type="TxLink">
            <a:rPr lang="en-US" sz="1400" b="1" i="1" u="none" strike="noStrike">
              <a:solidFill>
                <a:srgbClr val="000000"/>
              </a:solidFill>
              <a:latin typeface="Calibri"/>
              <a:ea typeface="Calibri"/>
              <a:cs typeface="Calibri"/>
            </a:rPr>
            <a:pPr algn="ctr"/>
            <a:t>5.5</a:t>
          </a:fld>
          <a:endParaRPr lang="en-IN" sz="1400" b="1" i="1"/>
        </a:p>
      </xdr:txBody>
    </xdr:sp>
    <xdr:clientData/>
  </xdr:twoCellAnchor>
  <xdr:twoCellAnchor editAs="oneCell">
    <xdr:from>
      <xdr:col>0</xdr:col>
      <xdr:colOff>129540</xdr:colOff>
      <xdr:row>0</xdr:row>
      <xdr:rowOff>0</xdr:rowOff>
    </xdr:from>
    <xdr:to>
      <xdr:col>1</xdr:col>
      <xdr:colOff>434340</xdr:colOff>
      <xdr:row>2</xdr:row>
      <xdr:rowOff>175260</xdr:rowOff>
    </xdr:to>
    <xdr:pic>
      <xdr:nvPicPr>
        <xdr:cNvPr id="40" name="Graphic 39" descr="Classroom with solid fill">
          <a:extLst>
            <a:ext uri="{FF2B5EF4-FFF2-40B4-BE49-F238E27FC236}">
              <a16:creationId xmlns:a16="http://schemas.microsoft.com/office/drawing/2014/main" id="{6601844A-875A-60BB-5340-DC372713F80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9540" y="0"/>
          <a:ext cx="914400" cy="541020"/>
        </a:xfrm>
        <a:prstGeom prst="rect">
          <a:avLst/>
        </a:prstGeom>
      </xdr:spPr>
    </xdr:pic>
    <xdr:clientData/>
  </xdr:twoCellAnchor>
  <xdr:twoCellAnchor editAs="oneCell">
    <xdr:from>
      <xdr:col>21</xdr:col>
      <xdr:colOff>220980</xdr:colOff>
      <xdr:row>0</xdr:row>
      <xdr:rowOff>0</xdr:rowOff>
    </xdr:from>
    <xdr:to>
      <xdr:col>22</xdr:col>
      <xdr:colOff>325260</xdr:colOff>
      <xdr:row>3</xdr:row>
      <xdr:rowOff>147393</xdr:rowOff>
    </xdr:to>
    <xdr:pic>
      <xdr:nvPicPr>
        <xdr:cNvPr id="42" name="Graphic 41" descr="Graduation cap with solid fill">
          <a:extLst>
            <a:ext uri="{FF2B5EF4-FFF2-40B4-BE49-F238E27FC236}">
              <a16:creationId xmlns:a16="http://schemas.microsoft.com/office/drawing/2014/main" id="{DFF07543-BE0F-149A-DFB8-A3BCF65339F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022580" y="0"/>
          <a:ext cx="713880" cy="6960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shith Kharvi" refreshedDate="46104.53175613426" createdVersion="8" refreshedVersion="8" minRefreshableVersion="3" recordCount="895" xr:uid="{2BF1F9D2-6DB8-466A-BB86-DA435C2E2835}">
  <cacheSource type="worksheet">
    <worksheetSource name="Table1"/>
  </cacheSource>
  <cacheFields count="14">
    <cacheField name="Student_ID" numFmtId="0">
      <sharedItems count="895">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 v="S0376"/>
        <s v="S0377"/>
        <s v="S0378"/>
        <s v="S0379"/>
        <s v="S0380"/>
        <s v="S0381"/>
        <s v="S0382"/>
        <s v="S0383"/>
        <s v="S0384"/>
        <s v="S0385"/>
        <s v="S0386"/>
        <s v="S0387"/>
        <s v="S0388"/>
        <s v="S0389"/>
        <s v="S0390"/>
        <s v="S0391"/>
        <s v="S0392"/>
        <s v="S0393"/>
        <s v="S0394"/>
        <s v="S0395"/>
        <s v="S0396"/>
        <s v="S0397"/>
        <s v="S0398"/>
        <s v="S0399"/>
        <s v="S0400"/>
        <s v="S0401"/>
        <s v="S0402"/>
        <s v="S0403"/>
        <s v="S0404"/>
        <s v="S0405"/>
        <s v="S0406"/>
        <s v="S0407"/>
        <s v="S0408"/>
        <s v="S0409"/>
        <s v="S0410"/>
        <s v="S0411"/>
        <s v="S0412"/>
        <s v="S0413"/>
        <s v="S0414"/>
        <s v="S0415"/>
        <s v="S0416"/>
        <s v="S0417"/>
        <s v="S0418"/>
        <s v="S0419"/>
        <s v="S0420"/>
        <s v="S0421"/>
        <s v="S0422"/>
        <s v="S0423"/>
        <s v="S0424"/>
        <s v="S0425"/>
        <s v="S0426"/>
        <s v="S0427"/>
        <s v="S0428"/>
        <s v="S0429"/>
        <s v="S0430"/>
        <s v="S0431"/>
        <s v="S0432"/>
        <s v="S0433"/>
        <s v="S0434"/>
        <s v="S0435"/>
        <s v="S0436"/>
        <s v="S0437"/>
        <s v="S0438"/>
        <s v="S0439"/>
        <s v="S0440"/>
        <s v="S0441"/>
        <s v="S0442"/>
        <s v="S0443"/>
        <s v="S0444"/>
        <s v="S0445"/>
        <s v="S0446"/>
        <s v="S0447"/>
        <s v="S0448"/>
        <s v="S0449"/>
        <s v="S0450"/>
        <s v="S0451"/>
        <s v="S0452"/>
        <s v="S0453"/>
        <s v="S0454"/>
        <s v="S0455"/>
        <s v="S0456"/>
        <s v="S0457"/>
        <s v="S0458"/>
        <s v="S0459"/>
        <s v="S0460"/>
        <s v="S0461"/>
        <s v="S0462"/>
        <s v="S0463"/>
        <s v="S0464"/>
        <s v="S0466"/>
        <s v="S0467"/>
        <s v="S0468"/>
        <s v="S0469"/>
        <s v="S0470"/>
        <s v="S0471"/>
        <s v="S0472"/>
        <s v="S0473"/>
        <s v="S0474"/>
        <s v="S0475"/>
        <s v="S0476"/>
        <s v="S0477"/>
        <s v="S0478"/>
        <s v="S0479"/>
        <s v="S0480"/>
        <s v="S0481"/>
        <s v="S0482"/>
        <s v="S0483"/>
        <s v="S0484"/>
        <s v="S0485"/>
        <s v="S0486"/>
        <s v="S0487"/>
        <s v="S0488"/>
        <s v="S0489"/>
        <s v="S0490"/>
        <s v="S0491"/>
        <s v="S0492"/>
        <s v="S0493"/>
        <s v="S0494"/>
        <s v="S0495"/>
        <s v="S0496"/>
        <s v="S0497"/>
        <s v="S0498"/>
        <s v="S0499"/>
        <s v="S0500"/>
        <s v="S0501"/>
        <s v="S0502"/>
        <s v="S0503"/>
        <s v="S0504"/>
        <s v="S0505"/>
        <s v="S0506"/>
        <s v="S0507"/>
        <s v="S0508"/>
        <s v="S0509"/>
        <s v="S0510"/>
        <s v="S0511"/>
        <s v="S0512"/>
        <s v="S0513"/>
        <s v="S0514"/>
        <s v="S0515"/>
        <s v="S0516"/>
        <s v="S0517"/>
        <s v="S0518"/>
        <s v="S0519"/>
        <s v="S0520"/>
        <s v="S0521"/>
        <s v="S0522"/>
        <s v="S0523"/>
        <s v="S0524"/>
        <s v="S0525"/>
        <s v="S0526"/>
        <s v="S0527"/>
        <s v="S0528"/>
        <s v="S0529"/>
        <s v="S0530"/>
        <s v="S0531"/>
        <s v="S0532"/>
        <s v="S0533"/>
        <s v="S0534"/>
        <s v="S0535"/>
        <s v="S0536"/>
        <s v="S0537"/>
        <s v="S0538"/>
        <s v="S0539"/>
        <s v="S0540"/>
        <s v="S0541"/>
        <s v="S0542"/>
        <s v="S0543"/>
        <s v="S0544"/>
        <s v="S0545"/>
        <s v="S0546"/>
        <s v="S0547"/>
        <s v="S0548"/>
        <s v="S0549"/>
        <s v="S0550"/>
        <s v="S0551"/>
        <s v="S0552"/>
        <s v="S0553"/>
        <s v="S0554"/>
        <s v="S0555"/>
        <s v="S0556"/>
        <s v="S0557"/>
        <s v="S0558"/>
        <s v="S0559"/>
        <s v="S0560"/>
        <s v="S0561"/>
        <s v="S0562"/>
        <s v="S0563"/>
        <s v="S0564"/>
        <s v="S0566"/>
        <s v="S0567"/>
        <s v="S0568"/>
        <s v="S0569"/>
        <s v="S0570"/>
        <s v="S0571"/>
        <s v="S0572"/>
        <s v="S0573"/>
        <s v="S0574"/>
        <s v="S0575"/>
        <s v="S0576"/>
        <s v="S0577"/>
        <s v="S0578"/>
        <s v="S0579"/>
        <s v="S0580"/>
        <s v="S0581"/>
        <s v="S0582"/>
        <s v="S0583"/>
        <s v="S0584"/>
        <s v="S0585"/>
        <s v="S0586"/>
        <s v="S0587"/>
        <s v="S0588"/>
        <s v="S0589"/>
        <s v="S0590"/>
        <s v="S0591"/>
        <s v="S0592"/>
        <s v="S0593"/>
        <s v="S0594"/>
        <s v="S0595"/>
        <s v="S0596"/>
        <s v="S0597"/>
        <s v="S0598"/>
        <s v="S0599"/>
        <s v="S0600"/>
        <s v="S0601"/>
        <s v="S0602"/>
        <s v="S0603"/>
        <s v="S0604"/>
        <s v="S0605"/>
        <s v="S0607"/>
        <s v="S0608"/>
        <s v="S0609"/>
        <s v="S0610"/>
        <s v="S0611"/>
        <s v="S0612"/>
        <s v="S0613"/>
        <s v="S0614"/>
        <s v="S0615"/>
        <s v="S0616"/>
        <s v="S0617"/>
        <s v="S0618"/>
        <s v="S0619"/>
        <s v="S0620"/>
        <s v="S0621"/>
        <s v="S0622"/>
        <s v="S0623"/>
        <s v="S0624"/>
        <s v="S0625"/>
        <s v="S0626"/>
        <s v="S0627"/>
        <s v="S0628"/>
        <s v="S0629"/>
        <s v="S0630"/>
        <s v="S0631"/>
        <s v="S0632"/>
        <s v="S0633"/>
        <s v="S0634"/>
        <s v="S0635"/>
        <s v="S0636"/>
        <s v="S0637"/>
        <s v="S0638"/>
        <s v="S0639"/>
        <s v="S0640"/>
        <s v="S0641"/>
        <s v="S0642"/>
        <s v="S0643"/>
        <s v="S0644"/>
        <s v="S0645"/>
        <s v="S0646"/>
        <s v="S0647"/>
        <s v="S0648"/>
        <s v="S0649"/>
        <s v="S0650"/>
        <s v="S0651"/>
        <s v="S0652"/>
        <s v="S0653"/>
        <s v="S0654"/>
        <s v="S0655"/>
        <s v="S0656"/>
        <s v="S0657"/>
        <s v="S0658"/>
        <s v="S0659"/>
        <s v="S0660"/>
        <s v="S0661"/>
        <s v="S0662"/>
        <s v="S0663"/>
        <s v="S0664"/>
        <s v="S0665"/>
        <s v="S0666"/>
        <s v="S0667"/>
        <s v="S0668"/>
        <s v="S0669"/>
        <s v="S0670"/>
        <s v="S0671"/>
        <s v="S0672"/>
        <s v="S0673"/>
        <s v="S0674"/>
        <s v="S0675"/>
        <s v="S0676"/>
        <s v="S0677"/>
        <s v="S0678"/>
        <s v="S0679"/>
        <s v="S0680"/>
        <s v="S0681"/>
        <s v="S0682"/>
        <s v="S0683"/>
        <s v="S0684"/>
        <s v="S0685"/>
        <s v="S0686"/>
        <s v="S0687"/>
        <s v="S0688"/>
        <s v="S0689"/>
        <s v="S0690"/>
        <s v="S0691"/>
        <s v="S0692"/>
        <s v="S0693"/>
        <s v="S0694"/>
        <s v="S0695"/>
        <s v="S0696"/>
        <s v="S0697"/>
        <s v="S0698"/>
        <s v="S0699"/>
        <s v="S0700"/>
        <s v="S0701"/>
        <s v="S0702"/>
        <s v="S0703"/>
        <s v="S0704"/>
        <s v="S0705"/>
        <s v="S0707"/>
        <s v="S0708"/>
        <s v="S0709"/>
        <s v="S0710"/>
        <s v="S0711"/>
        <s v="S0712"/>
        <s v="S0713"/>
        <s v="S0714"/>
        <s v="S0715"/>
        <s v="S0716"/>
        <s v="S0717"/>
        <s v="S0718"/>
        <s v="S0719"/>
        <s v="S0720"/>
        <s v="S0721"/>
        <s v="S0722"/>
        <s v="S0723"/>
        <s v="S0724"/>
        <s v="S0725"/>
        <s v="S0726"/>
        <s v="S0727"/>
        <s v="S0728"/>
        <s v="S0729"/>
        <s v="S0730"/>
        <s v="S0731"/>
        <s v="S0732"/>
        <s v="S0733"/>
        <s v="S0734"/>
        <s v="S0735"/>
        <s v="S0736"/>
        <s v="S0737"/>
        <s v="S0738"/>
        <s v="S0739"/>
        <s v="S0740"/>
        <s v="S0741"/>
        <s v="S0742"/>
        <s v="S0743"/>
        <s v="S0744"/>
        <s v="S0745"/>
        <s v="S0746"/>
        <s v="S0747"/>
        <s v="S0748"/>
        <s v="S0749"/>
        <s v="S0750"/>
        <s v="S0751"/>
        <s v="S0752"/>
        <s v="S0753"/>
        <s v="S0754"/>
        <s v="S0755"/>
        <s v="S0756"/>
        <s v="S0757"/>
        <s v="S0758"/>
        <s v="S0759"/>
        <s v="S0760"/>
        <s v="S0761"/>
        <s v="S0762"/>
        <s v="S0763"/>
        <s v="S0764"/>
        <s v="S0765"/>
        <s v="S0766"/>
        <s v="S0767"/>
        <s v="S0768"/>
        <s v="S0769"/>
        <s v="S0770"/>
        <s v="S0771"/>
        <s v="S0772"/>
        <s v="S0773"/>
        <s v="S0774"/>
        <s v="S0775"/>
        <s v="S0776"/>
        <s v="S0777"/>
        <s v="S0778"/>
        <s v="S0779"/>
        <s v="S0780"/>
        <s v="S0781"/>
        <s v="S0782"/>
        <s v="S0783"/>
        <s v="S0784"/>
        <s v="S0785"/>
        <s v="S0786"/>
        <s v="S0787"/>
        <s v="S0788"/>
        <s v="S0789"/>
        <s v="S0790"/>
        <s v="S0791"/>
        <s v="S0792"/>
        <s v="S0793"/>
        <s v="S0794"/>
        <s v="S0795"/>
        <s v="S0796"/>
        <s v="S0797"/>
        <s v="S0798"/>
        <s v="S0799"/>
        <s v="S0800"/>
        <s v="S0801"/>
        <s v="S0802"/>
        <s v="S0803"/>
        <s v="S0804"/>
        <s v="S0805"/>
        <s v="S0806"/>
        <s v="S0807"/>
        <s v="S0808"/>
        <s v="S0809"/>
        <s v="S0810"/>
        <s v="S0811"/>
        <s v="S0812"/>
        <s v="S0813"/>
        <s v="S0814"/>
        <s v="S0815"/>
        <s v="S0816"/>
        <s v="S0817"/>
        <s v="S0818"/>
        <s v="S0819"/>
        <s v="S0820"/>
        <s v="S0821"/>
        <s v="S0822"/>
        <s v="S0823"/>
        <s v="S0824"/>
        <s v="S0825"/>
        <s v="S0826"/>
        <s v="S0827"/>
        <s v="S0828"/>
        <s v="S0829"/>
        <s v="S0830"/>
        <s v="S0831"/>
        <s v="S0832"/>
        <s v="S0833"/>
        <s v="S0834"/>
        <s v="S0835"/>
        <s v="S0836"/>
        <s v="S0837"/>
        <s v="S0838"/>
        <s v="S0839"/>
        <s v="S0840"/>
        <s v="S0841"/>
        <s v="S0842"/>
        <s v="S0843"/>
        <s v="S0844"/>
        <s v="S0845"/>
        <s v="S0846"/>
        <s v="S0847"/>
        <s v="S0848"/>
        <s v="S0849"/>
        <s v="S0850"/>
        <s v="S0851"/>
        <s v="S0852"/>
        <s v="S0853"/>
        <s v="S0854"/>
        <s v="S0855"/>
        <s v="S0856"/>
        <s v="S0857"/>
        <s v="S0858"/>
        <s v="S0859"/>
        <s v="S0860"/>
        <s v="S0861"/>
        <s v="S0862"/>
        <s v="S0863"/>
        <s v="S0864"/>
        <s v="S0865"/>
        <s v="S0866"/>
        <s v="S0867"/>
        <s v="S0868"/>
        <s v="S0869"/>
        <s v="S0870"/>
        <s v="S0871"/>
        <s v="S0872"/>
        <s v="S0873"/>
        <s v="S0874"/>
        <s v="S0875"/>
        <s v="S0876"/>
        <s v="S0877"/>
        <s v="S0878"/>
        <s v="S0879"/>
        <s v="S0880"/>
        <s v="S0881"/>
        <s v="S0882"/>
        <s v="S0883"/>
        <s v="S0884"/>
        <s v="S0885"/>
        <s v="S0886"/>
        <s v="S0887"/>
        <s v="S0888"/>
        <s v="S0889"/>
        <s v="S0890"/>
        <s v="S0891"/>
        <s v="S0892"/>
        <s v="S0893"/>
        <s v="S0894"/>
        <s v="S0895"/>
        <s v="S0896"/>
        <s v="S0897"/>
        <s v="S0898"/>
        <s v="S0899"/>
        <s v="S0900"/>
      </sharedItems>
    </cacheField>
    <cacheField name="Age" numFmtId="0">
      <sharedItems containsSemiMixedTypes="0" containsString="0" containsNumber="1" containsInteger="1" minValue="17" maxValue="27"/>
    </cacheField>
    <cacheField name="Gender" numFmtId="0">
      <sharedItems count="2">
        <s v="Male"/>
        <s v="Female"/>
      </sharedItems>
    </cacheField>
    <cacheField name="Course" numFmtId="0">
      <sharedItems count="9">
        <s v="BSc CS"/>
        <s v="MBA"/>
        <s v="MCA"/>
        <s v="MTech"/>
        <s v="BTech"/>
        <s v="BCA"/>
        <s v="BCom"/>
        <s v="BA"/>
        <s v="BBA"/>
      </sharedItems>
    </cacheField>
    <cacheField name="Year_of_Study" numFmtId="0">
      <sharedItems containsSemiMixedTypes="0" containsString="0" containsNumber="1" containsInteger="1" minValue="1" maxValue="4" count="4">
        <n v="1"/>
        <n v="2"/>
        <n v="3"/>
        <n v="4"/>
      </sharedItems>
    </cacheField>
    <cacheField name="CGPA" numFmtId="0">
      <sharedItems containsSemiMixedTypes="0" containsString="0" containsNumber="1" minValue="4" maxValue="10" count="461">
        <n v="5.12"/>
        <n v="6.85"/>
        <n v="9.31"/>
        <n v="7.05"/>
        <n v="6.48"/>
        <n v="8.84"/>
        <n v="7.12"/>
        <n v="7.79"/>
        <n v="4.7300000000000004"/>
        <n v="7.58"/>
        <n v="6.97"/>
        <n v="6.55"/>
        <n v="7.45"/>
        <n v="5.21"/>
        <n v="8.9700000000000006"/>
        <n v="7.03"/>
        <n v="4.4000000000000004"/>
        <n v="6.15"/>
        <n v="9.39"/>
        <n v="9.4"/>
        <n v="4.88"/>
        <n v="8.2200000000000006"/>
        <n v="6.26"/>
        <n v="4.2300000000000004"/>
        <n v="8.98"/>
        <n v="5.69"/>
        <n v="4.99"/>
        <n v="4.92"/>
        <n v="8.15"/>
        <n v="8.51"/>
        <n v="6.27"/>
        <n v="9.7200000000000006"/>
        <n v="6.44"/>
        <n v="4.3099999999999996"/>
        <n v="8.5"/>
        <n v="7.6"/>
        <n v="6.2"/>
        <n v="6.74"/>
        <n v="4.07"/>
        <n v="9.89"/>
        <n v="6.61"/>
        <n v="9.7799999999999994"/>
        <n v="5.51"/>
        <n v="5.91"/>
        <n v="8.5500000000000007"/>
        <n v="6.17"/>
        <n v="7.24"/>
        <n v="9.94"/>
        <n v="9.16"/>
        <n v="7.29"/>
        <n v="9.23"/>
        <n v="7.67"/>
        <n v="7.75"/>
        <n v="7.53"/>
        <n v="8.81"/>
        <n v="5.37"/>
        <n v="9.24"/>
        <n v="6.45"/>
        <n v="6.86"/>
        <n v="5.66"/>
        <n v="9.9"/>
        <n v="4.76"/>
        <n v="6.09"/>
        <n v="6.34"/>
        <n v="6.43"/>
        <n v="7.49"/>
        <n v="5.55"/>
        <n v="4.3600000000000003"/>
        <n v="4.97"/>
        <n v="5.75"/>
        <n v="7.56"/>
        <n v="5.19"/>
        <n v="4.22"/>
        <n v="8.73"/>
        <n v="4.17"/>
        <n v="7.94"/>
        <n v="6.73"/>
        <n v="4.2699999999999996"/>
        <n v="9.25"/>
        <n v="8.61"/>
        <n v="8.75"/>
        <n v="8.39"/>
        <n v="9.67"/>
        <n v="6.28"/>
        <n v="9.0399999999999991"/>
        <n v="4.38"/>
        <n v="6.49"/>
        <n v="9.06"/>
        <n v="6.96"/>
        <n v="5.32"/>
        <n v="9.3699999999999992"/>
        <n v="9.08"/>
        <n v="9.6999999999999993"/>
        <n v="8.32"/>
        <n v="8.64"/>
        <n v="8.89"/>
        <n v="7.96"/>
        <n v="5.47"/>
        <n v="6.06"/>
        <n v="4.79"/>
        <n v="7.2"/>
        <n v="4.63"/>
        <n v="4.04"/>
        <n v="6.13"/>
        <n v="4.41"/>
        <n v="7.38"/>
        <n v="8.9600000000000009"/>
        <n v="5.48"/>
        <n v="9.4499999999999993"/>
        <n v="6.3"/>
        <n v="5.52"/>
        <n v="7.82"/>
        <n v="7.32"/>
        <n v="4.54"/>
        <n v="4.8899999999999997"/>
        <n v="4.49"/>
        <n v="4.5"/>
        <n v="5.33"/>
        <n v="5.27"/>
        <n v="4.24"/>
        <n v="9.2799999999999994"/>
        <n v="7.3"/>
        <n v="9.6300000000000008"/>
        <n v="5.99"/>
        <n v="7.59"/>
        <n v="5.8"/>
        <n v="8.7100000000000009"/>
        <n v="6.32"/>
        <n v="7.92"/>
        <n v="6.33"/>
        <n v="4.08"/>
        <n v="4.84"/>
        <n v="9.6"/>
        <n v="4.0999999999999996"/>
        <n v="5.43"/>
        <n v="8.02"/>
        <n v="8.9499999999999993"/>
        <n v="5.88"/>
        <n v="4.58"/>
        <n v="9.33"/>
        <n v="4.8099999999999996"/>
        <n v="4.72"/>
        <n v="5.1100000000000003"/>
        <n v="7.78"/>
        <n v="8.7799999999999994"/>
        <n v="9.17"/>
        <n v="7.28"/>
        <n v="4.91"/>
        <n v="4.34"/>
        <n v="7.69"/>
        <n v="6.66"/>
        <n v="6.68"/>
        <n v="5.15"/>
        <n v="5.0199999999999996"/>
        <n v="6.71"/>
        <n v="5.17"/>
        <n v="4.18"/>
        <n v="8.2100000000000009"/>
        <n v="9.91"/>
        <n v="9.42"/>
        <n v="9.8699999999999992"/>
        <n v="5.26"/>
        <n v="8.94"/>
        <n v="9.84"/>
        <n v="8.8800000000000008"/>
        <n v="5.82"/>
        <n v="6.04"/>
        <n v="5.36"/>
        <n v="8.86"/>
        <n v="5.49"/>
        <n v="4.4400000000000004"/>
        <n v="7.9"/>
        <n v="7.57"/>
        <n v="7.23"/>
        <n v="4.62"/>
        <n v="9.56"/>
        <n v="5.46"/>
        <n v="6.35"/>
        <n v="4.3499999999999996"/>
        <n v="8.0299999999999994"/>
        <n v="4.46"/>
        <n v="8.42"/>
        <n v="9.83"/>
        <n v="9.49"/>
        <n v="9.9499999999999993"/>
        <n v="4.0199999999999996"/>
        <n v="8.3000000000000007"/>
        <n v="4.29"/>
        <n v="5.39"/>
        <n v="9.7100000000000009"/>
        <n v="4.21"/>
        <n v="9.9600000000000009"/>
        <n v="9.3800000000000008"/>
        <n v="5.34"/>
        <n v="5.41"/>
        <n v="9.44"/>
        <n v="4.51"/>
        <n v="7.19"/>
        <n v="5.56"/>
        <n v="7.97"/>
        <n v="4.3"/>
        <n v="4.6100000000000003"/>
        <n v="6.9"/>
        <n v="6.4"/>
        <n v="8.7899999999999991"/>
        <n v="9.5399999999999991"/>
        <n v="7.02"/>
        <n v="5.72"/>
        <n v="4.3899999999999997"/>
        <n v="7.85"/>
        <n v="5.94"/>
        <n v="5.93"/>
        <n v="6.88"/>
        <n v="7.66"/>
        <n v="8.23"/>
        <n v="7.14"/>
        <n v="5.31"/>
        <n v="5.68"/>
        <n v="7.16"/>
        <n v="8.59"/>
        <n v="7.95"/>
        <n v="6.6"/>
        <n v="9.9700000000000006"/>
        <n v="4.59"/>
        <n v="4.4800000000000004"/>
        <n v="6.72"/>
        <n v="5.86"/>
        <n v="9.61"/>
        <n v="7.65"/>
        <n v="9.5500000000000007"/>
        <n v="6.12"/>
        <n v="8.33"/>
        <n v="8.65"/>
        <n v="9.36"/>
        <n v="8.99"/>
        <n v="6.58"/>
        <n v="8.67"/>
        <n v="5.03"/>
        <n v="6.64"/>
        <n v="5.45"/>
        <n v="8.17"/>
        <n v="6.38"/>
        <n v="5.22"/>
        <n v="9.59"/>
        <n v="8.57"/>
        <n v="7.91"/>
        <n v="4.55"/>
        <n v="5.83"/>
        <n v="7.98"/>
        <n v="8.69"/>
        <n v="4.8"/>
        <n v="7.77"/>
        <n v="8.4"/>
        <n v="6.51"/>
        <n v="7.15"/>
        <n v="4.87"/>
        <n v="6.24"/>
        <n v="9.41"/>
        <n v="5.23"/>
        <n v="6.23"/>
        <n v="7.5"/>
        <n v="9.81"/>
        <n v="7.33"/>
        <n v="6.01"/>
        <n v="7.31"/>
        <n v="6.62"/>
        <n v="7.43"/>
        <n v="7.22"/>
        <n v="6.42"/>
        <n v="9.15"/>
        <n v="5.0599999999999996"/>
        <n v="8.07"/>
        <n v="7.39"/>
        <n v="4.1100000000000003"/>
        <n v="6.22"/>
        <n v="8.7200000000000006"/>
        <n v="7.27"/>
        <n v="9.93"/>
        <n v="9.2100000000000009"/>
        <n v="4.45"/>
        <n v="8.77"/>
        <n v="5.4"/>
        <n v="8.1300000000000008"/>
        <n v="8.01"/>
        <n v="6.82"/>
        <n v="7.51"/>
        <n v="7.7"/>
        <n v="4.7699999999999996"/>
        <n v="7.34"/>
        <n v="9.43"/>
        <n v="5.64"/>
        <n v="8"/>
        <n v="8.56"/>
        <n v="7.48"/>
        <n v="7.63"/>
        <n v="5.79"/>
        <n v="9.73"/>
        <n v="4.5999999999999996"/>
        <n v="4.03"/>
        <n v="4.13"/>
        <n v="9.18"/>
        <n v="8.66"/>
        <n v="5.81"/>
        <n v="5.76"/>
        <n v="8.93"/>
        <n v="4.78"/>
        <n v="8.76"/>
        <n v="9.86"/>
        <n v="6.36"/>
        <n v="4.71"/>
        <n v="4.53"/>
        <n v="8.1"/>
        <n v="8.5299999999999994"/>
        <n v="9.2200000000000006"/>
        <n v="4.5199999999999996"/>
        <n v="8.2899999999999991"/>
        <n v="7.8"/>
        <n v="5.35"/>
        <n v="7.4"/>
        <n v="9.14"/>
        <n v="5.13"/>
        <n v="5.05"/>
        <n v="9.1999999999999993"/>
        <n v="5.89"/>
        <n v="8.36"/>
        <n v="6.98"/>
        <n v="7.42"/>
        <n v="7.84"/>
        <n v="8.43"/>
        <n v="8.44"/>
        <n v="6.03"/>
        <n v="6.63"/>
        <n v="4.6900000000000004"/>
        <n v="6.1"/>
        <n v="8.74"/>
        <n v="5.08"/>
        <n v="4.9000000000000004"/>
        <n v="8.11"/>
        <n v="8.83"/>
        <n v="6.95"/>
        <n v="6.65"/>
        <n v="6.57"/>
        <n v="5.71"/>
        <n v="9.66"/>
        <n v="5.09"/>
        <n v="6.14"/>
        <n v="9.3000000000000007"/>
        <n v="5.38"/>
        <n v="7.93"/>
        <n v="8.6999999999999993"/>
        <n v="5.73"/>
        <n v="4.9800000000000004"/>
        <n v="9.99"/>
        <n v="9.11"/>
        <n v="4.8600000000000003"/>
        <n v="6.84"/>
        <n v="6.39"/>
        <n v="7.55"/>
        <n v="5.01"/>
        <n v="8.14"/>
        <n v="5.0999999999999996"/>
        <n v="5.2"/>
        <n v="6.67"/>
        <n v="4.6399999999999997"/>
        <n v="6.79"/>
        <n v="6.46"/>
        <n v="7.18"/>
        <n v="8.41"/>
        <n v="7.17"/>
        <n v="9.85"/>
        <n v="9.76"/>
        <n v="7.37"/>
        <n v="4.67"/>
        <n v="7.01"/>
        <n v="9.09"/>
        <n v="9.77"/>
        <n v="4.93"/>
        <n v="4.82"/>
        <n v="4.57"/>
        <n v="4.2"/>
        <n v="8.34"/>
        <n v="4.74"/>
        <n v="5.84"/>
        <n v="7.99"/>
        <n v="7.52"/>
        <n v="9.07"/>
        <n v="9.92"/>
        <n v="5.7"/>
        <n v="10"/>
        <n v="7.35"/>
        <n v="7.86"/>
        <n v="8.4600000000000009"/>
        <n v="8.24"/>
        <n v="5.25"/>
        <n v="9.1300000000000008"/>
        <n v="4.42"/>
        <n v="5.63"/>
        <n v="8.09"/>
        <n v="4"/>
        <n v="9.52"/>
        <n v="8.9"/>
        <n v="9.8000000000000007"/>
        <n v="7.72"/>
        <n v="5.42"/>
        <n v="9.0299999999999994"/>
        <n v="9.6199999999999992"/>
        <n v="7.73"/>
        <n v="8.16"/>
        <n v="5.28"/>
        <n v="5.44"/>
        <n v="9.4700000000000006"/>
        <n v="9.01"/>
        <n v="8.4499999999999993"/>
        <n v="8.82"/>
        <n v="6.29"/>
        <n v="7.13"/>
        <n v="5.97"/>
        <n v="6.8"/>
        <n v="5.5"/>
        <n v="9.8800000000000008"/>
        <n v="9.68"/>
        <n v="8.0399999999999991"/>
        <n v="8.49"/>
        <n v="4.0599999999999996"/>
        <n v="5.24"/>
        <n v="6.91"/>
        <n v="4.8499999999999996"/>
        <n v="8.2799999999999994"/>
        <n v="6.54"/>
        <n v="8.48"/>
        <n v="7.46"/>
        <n v="9.57"/>
        <n v="5.77"/>
        <n v="6.78"/>
        <n v="6.02"/>
        <n v="9.5"/>
        <n v="9.64"/>
        <n v="8.25"/>
        <n v="8.8000000000000007"/>
        <n v="4.05"/>
        <n v="7.74"/>
        <n v="5.57"/>
        <n v="5.98"/>
        <n v="6.11"/>
        <n v="7.09"/>
        <n v="7.61"/>
        <n v="7.06"/>
        <n v="4.33"/>
        <n v="4.47"/>
        <n v="5.74"/>
        <n v="8.27"/>
        <n v="8.31"/>
        <n v="9.35"/>
        <n v="4.95"/>
        <n v="8.3800000000000008"/>
        <n v="6.21"/>
        <n v="4.28"/>
        <n v="4.1900000000000004"/>
        <n v="9.26"/>
        <n v="4.7"/>
        <n v="5.65"/>
      </sharedItems>
    </cacheField>
    <cacheField name="Exam_Frequency" numFmtId="0">
      <sharedItems containsSemiMixedTypes="0" containsString="0" containsNumber="1" containsInteger="1" minValue="2" maxValue="10"/>
    </cacheField>
    <cacheField name="Attendance_%" numFmtId="0">
      <sharedItems containsSemiMixedTypes="0" containsString="0" containsNumber="1" minValue="50" maxValue="99.9"/>
    </cacheField>
    <cacheField name="Living_Type" numFmtId="0">
      <sharedItems count="3">
        <s v="Day Scholar"/>
        <s v="Room"/>
        <s v="Hostel"/>
      </sharedItems>
    </cacheField>
    <cacheField name="Club_Participation" numFmtId="0">
      <sharedItems count="5">
        <s v="None"/>
        <s v="Tech"/>
        <s v="Sports"/>
        <s v="Literature"/>
        <s v="Cultural"/>
      </sharedItems>
    </cacheField>
    <cacheField name="Social_Media_Usage_hrs" numFmtId="0">
      <sharedItems containsSemiMixedTypes="0" containsString="0" containsNumber="1" minValue="0.1" maxValue="9"/>
    </cacheField>
    <cacheField name="Career_Anxiety_Level" numFmtId="0">
      <sharedItems containsSemiMixedTypes="0" containsString="0" containsNumber="1" containsInteger="1" minValue="1" maxValue="10"/>
    </cacheField>
    <cacheField name="Sleep_Hours" numFmtId="0">
      <sharedItems containsSemiMixedTypes="0" containsString="0" containsNumber="1" minValue="3.5" maxValue="10" count="66">
        <n v="7.2"/>
        <n v="9.6"/>
        <n v="5.8"/>
        <n v="5"/>
        <n v="4.3"/>
        <n v="5.4"/>
        <n v="6.9"/>
        <n v="8"/>
        <n v="5.5"/>
        <n v="9.1"/>
        <n v="5.7"/>
        <n v="4"/>
        <n v="8.9"/>
        <n v="4.0999999999999996"/>
        <n v="6"/>
        <n v="3.6"/>
        <n v="9.9"/>
        <n v="6.8"/>
        <n v="7.8"/>
        <n v="5.2"/>
        <n v="9"/>
        <n v="6.2"/>
        <n v="4.4000000000000004"/>
        <n v="4.8"/>
        <n v="8.5"/>
        <n v="6.7"/>
        <n v="7.5"/>
        <n v="5.6"/>
        <n v="9.4"/>
        <n v="6.1"/>
        <n v="6.6"/>
        <n v="3.7"/>
        <n v="7.4"/>
        <n v="9.3000000000000007"/>
        <n v="10"/>
        <n v="4.5"/>
        <n v="6.3"/>
        <n v="7.3"/>
        <n v="9.1999999999999993"/>
        <n v="7"/>
        <n v="4.7"/>
        <n v="6.5"/>
        <n v="8.6"/>
        <n v="8.4"/>
        <n v="5.3"/>
        <n v="7.7"/>
        <n v="8.3000000000000007"/>
        <n v="8.8000000000000007"/>
        <n v="9.8000000000000007"/>
        <n v="3.9"/>
        <n v="9.5"/>
        <n v="9.6999999999999993"/>
        <n v="3.8"/>
        <n v="8.1"/>
        <n v="8.1999999999999993"/>
        <n v="4.9000000000000004"/>
        <n v="4.2"/>
        <n v="8.6999999999999993"/>
        <n v="6.4"/>
        <n v="5.9"/>
        <n v="5.0999999999999996"/>
        <n v="7.9"/>
        <n v="7.1"/>
        <n v="4.5999999999999996"/>
        <n v="7.6"/>
        <n v="3.5"/>
      </sharedItems>
    </cacheField>
    <cacheField name="Counseling_Access" numFmtId="0">
      <sharedItems/>
    </cacheField>
  </cacheFields>
  <extLst>
    <ext xmlns:x14="http://schemas.microsoft.com/office/spreadsheetml/2009/9/main" uri="{725AE2AE-9491-48be-B2B4-4EB974FC3084}">
      <x14:pivotCacheDefinition pivotCacheId="1949368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5">
  <r>
    <x v="0"/>
    <n v="27"/>
    <x v="0"/>
    <x v="0"/>
    <x v="0"/>
    <x v="0"/>
    <n v="5"/>
    <n v="89"/>
    <x v="0"/>
    <x v="0"/>
    <n v="3.6"/>
    <n v="2"/>
    <x v="0"/>
    <s v="Yes"/>
  </r>
  <r>
    <x v="1"/>
    <n v="18"/>
    <x v="1"/>
    <x v="1"/>
    <x v="0"/>
    <x v="1"/>
    <n v="5"/>
    <n v="58.6"/>
    <x v="0"/>
    <x v="1"/>
    <n v="4"/>
    <n v="10"/>
    <x v="1"/>
    <s v="No"/>
  </r>
  <r>
    <x v="2"/>
    <n v="27"/>
    <x v="1"/>
    <x v="2"/>
    <x v="1"/>
    <x v="2"/>
    <n v="7"/>
    <n v="79.599999999999994"/>
    <x v="1"/>
    <x v="0"/>
    <n v="1.2"/>
    <n v="5"/>
    <x v="2"/>
    <s v="No"/>
  </r>
  <r>
    <x v="3"/>
    <n v="20"/>
    <x v="0"/>
    <x v="3"/>
    <x v="0"/>
    <x v="3"/>
    <n v="10"/>
    <n v="79.8"/>
    <x v="2"/>
    <x v="0"/>
    <n v="5.2"/>
    <n v="7"/>
    <x v="3"/>
    <s v="Yes"/>
  </r>
  <r>
    <x v="4"/>
    <n v="21"/>
    <x v="1"/>
    <x v="4"/>
    <x v="0"/>
    <x v="4"/>
    <n v="5"/>
    <n v="97.4"/>
    <x v="0"/>
    <x v="2"/>
    <n v="6.6"/>
    <n v="9"/>
    <x v="4"/>
    <s v="Yes"/>
  </r>
  <r>
    <x v="5"/>
    <n v="23"/>
    <x v="0"/>
    <x v="1"/>
    <x v="0"/>
    <x v="5"/>
    <n v="9"/>
    <n v="54.2"/>
    <x v="0"/>
    <x v="3"/>
    <n v="1.5"/>
    <n v="9"/>
    <x v="5"/>
    <s v="Yes"/>
  </r>
  <r>
    <x v="6"/>
    <n v="22"/>
    <x v="0"/>
    <x v="5"/>
    <x v="1"/>
    <x v="3"/>
    <n v="6"/>
    <n v="73.5"/>
    <x v="0"/>
    <x v="2"/>
    <n v="0.9"/>
    <n v="4"/>
    <x v="6"/>
    <s v="No"/>
  </r>
  <r>
    <x v="7"/>
    <n v="20"/>
    <x v="1"/>
    <x v="6"/>
    <x v="0"/>
    <x v="6"/>
    <n v="4"/>
    <n v="73.3"/>
    <x v="0"/>
    <x v="3"/>
    <n v="7.1"/>
    <n v="1"/>
    <x v="7"/>
    <s v="Yes"/>
  </r>
  <r>
    <x v="8"/>
    <n v="27"/>
    <x v="0"/>
    <x v="3"/>
    <x v="1"/>
    <x v="7"/>
    <n v="6"/>
    <n v="94.8"/>
    <x v="0"/>
    <x v="1"/>
    <n v="7.2"/>
    <n v="3"/>
    <x v="8"/>
    <s v="Yes"/>
  </r>
  <r>
    <x v="9"/>
    <n v="25"/>
    <x v="0"/>
    <x v="1"/>
    <x v="1"/>
    <x v="8"/>
    <n v="7"/>
    <n v="64"/>
    <x v="0"/>
    <x v="1"/>
    <n v="3.7"/>
    <n v="4"/>
    <x v="9"/>
    <s v="No"/>
  </r>
  <r>
    <x v="10"/>
    <n v="24"/>
    <x v="0"/>
    <x v="7"/>
    <x v="2"/>
    <x v="9"/>
    <n v="3"/>
    <n v="66.400000000000006"/>
    <x v="2"/>
    <x v="0"/>
    <n v="3.4"/>
    <n v="10"/>
    <x v="10"/>
    <s v="Yes"/>
  </r>
  <r>
    <x v="11"/>
    <n v="20"/>
    <x v="1"/>
    <x v="2"/>
    <x v="1"/>
    <x v="10"/>
    <n v="4"/>
    <n v="98.6"/>
    <x v="0"/>
    <x v="0"/>
    <n v="7.1"/>
    <n v="1"/>
    <x v="11"/>
    <s v="No"/>
  </r>
  <r>
    <x v="12"/>
    <n v="24"/>
    <x v="0"/>
    <x v="5"/>
    <x v="1"/>
    <x v="11"/>
    <n v="7"/>
    <n v="51.3"/>
    <x v="2"/>
    <x v="3"/>
    <n v="5.9"/>
    <n v="3"/>
    <x v="6"/>
    <s v="Yes"/>
  </r>
  <r>
    <x v="13"/>
    <n v="23"/>
    <x v="0"/>
    <x v="7"/>
    <x v="0"/>
    <x v="12"/>
    <n v="6"/>
    <n v="50.9"/>
    <x v="1"/>
    <x v="3"/>
    <n v="1.7"/>
    <n v="8"/>
    <x v="8"/>
    <s v="Yes"/>
  </r>
  <r>
    <x v="14"/>
    <n v="23"/>
    <x v="1"/>
    <x v="8"/>
    <x v="1"/>
    <x v="13"/>
    <n v="9"/>
    <n v="69.5"/>
    <x v="0"/>
    <x v="1"/>
    <n v="0.5"/>
    <n v="8"/>
    <x v="12"/>
    <s v="No"/>
  </r>
  <r>
    <x v="15"/>
    <n v="21"/>
    <x v="0"/>
    <x v="3"/>
    <x v="0"/>
    <x v="14"/>
    <n v="9"/>
    <n v="93.6"/>
    <x v="0"/>
    <x v="1"/>
    <n v="1"/>
    <n v="7"/>
    <x v="13"/>
    <s v="No"/>
  </r>
  <r>
    <x v="16"/>
    <n v="17"/>
    <x v="0"/>
    <x v="6"/>
    <x v="2"/>
    <x v="15"/>
    <n v="4"/>
    <n v="85"/>
    <x v="2"/>
    <x v="3"/>
    <n v="5.3"/>
    <n v="8"/>
    <x v="14"/>
    <s v="No"/>
  </r>
  <r>
    <x v="17"/>
    <n v="18"/>
    <x v="0"/>
    <x v="3"/>
    <x v="1"/>
    <x v="16"/>
    <n v="9"/>
    <n v="71.7"/>
    <x v="2"/>
    <x v="3"/>
    <n v="0.8"/>
    <n v="2"/>
    <x v="15"/>
    <s v="No"/>
  </r>
  <r>
    <x v="18"/>
    <n v="23"/>
    <x v="0"/>
    <x v="6"/>
    <x v="1"/>
    <x v="17"/>
    <n v="5"/>
    <n v="80.7"/>
    <x v="1"/>
    <x v="3"/>
    <n v="8.4"/>
    <n v="7"/>
    <x v="16"/>
    <s v="No"/>
  </r>
  <r>
    <x v="19"/>
    <n v="22"/>
    <x v="0"/>
    <x v="8"/>
    <x v="1"/>
    <x v="18"/>
    <n v="6"/>
    <n v="97.5"/>
    <x v="2"/>
    <x v="4"/>
    <n v="6.5"/>
    <n v="9"/>
    <x v="17"/>
    <s v="Yes"/>
  </r>
  <r>
    <x v="20"/>
    <n v="21"/>
    <x v="0"/>
    <x v="8"/>
    <x v="1"/>
    <x v="19"/>
    <n v="7"/>
    <n v="94.1"/>
    <x v="0"/>
    <x v="2"/>
    <n v="8.5"/>
    <n v="1"/>
    <x v="18"/>
    <s v="Yes"/>
  </r>
  <r>
    <x v="21"/>
    <n v="23"/>
    <x v="0"/>
    <x v="2"/>
    <x v="1"/>
    <x v="20"/>
    <n v="6"/>
    <n v="72.5"/>
    <x v="1"/>
    <x v="4"/>
    <n v="7.4"/>
    <n v="8"/>
    <x v="19"/>
    <s v="Yes"/>
  </r>
  <r>
    <x v="22"/>
    <n v="24"/>
    <x v="0"/>
    <x v="4"/>
    <x v="2"/>
    <x v="21"/>
    <n v="2"/>
    <n v="92.9"/>
    <x v="2"/>
    <x v="3"/>
    <n v="7.7"/>
    <n v="7"/>
    <x v="20"/>
    <s v="Yes"/>
  </r>
  <r>
    <x v="23"/>
    <n v="24"/>
    <x v="0"/>
    <x v="5"/>
    <x v="1"/>
    <x v="22"/>
    <n v="7"/>
    <n v="97.2"/>
    <x v="2"/>
    <x v="4"/>
    <n v="6.3"/>
    <n v="5"/>
    <x v="0"/>
    <s v="No"/>
  </r>
  <r>
    <x v="24"/>
    <n v="20"/>
    <x v="0"/>
    <x v="7"/>
    <x v="1"/>
    <x v="23"/>
    <n v="6"/>
    <n v="74.2"/>
    <x v="2"/>
    <x v="3"/>
    <n v="3.8"/>
    <n v="3"/>
    <x v="21"/>
    <s v="No"/>
  </r>
  <r>
    <x v="25"/>
    <n v="22"/>
    <x v="1"/>
    <x v="4"/>
    <x v="2"/>
    <x v="24"/>
    <n v="5"/>
    <n v="77.3"/>
    <x v="1"/>
    <x v="3"/>
    <n v="6.6"/>
    <n v="3"/>
    <x v="2"/>
    <s v="No"/>
  </r>
  <r>
    <x v="26"/>
    <n v="25"/>
    <x v="0"/>
    <x v="6"/>
    <x v="1"/>
    <x v="25"/>
    <n v="9"/>
    <n v="71.3"/>
    <x v="0"/>
    <x v="0"/>
    <n v="6.4"/>
    <n v="8"/>
    <x v="11"/>
    <s v="No"/>
  </r>
  <r>
    <x v="27"/>
    <n v="20"/>
    <x v="1"/>
    <x v="1"/>
    <x v="0"/>
    <x v="26"/>
    <n v="3"/>
    <n v="53.5"/>
    <x v="0"/>
    <x v="3"/>
    <n v="4.3"/>
    <n v="4"/>
    <x v="22"/>
    <s v="No"/>
  </r>
  <r>
    <x v="28"/>
    <n v="23"/>
    <x v="1"/>
    <x v="1"/>
    <x v="1"/>
    <x v="27"/>
    <n v="6"/>
    <n v="85.2"/>
    <x v="0"/>
    <x v="3"/>
    <n v="6.6"/>
    <n v="3"/>
    <x v="23"/>
    <s v="No"/>
  </r>
  <r>
    <x v="29"/>
    <n v="19"/>
    <x v="0"/>
    <x v="2"/>
    <x v="1"/>
    <x v="28"/>
    <n v="10"/>
    <n v="92.6"/>
    <x v="2"/>
    <x v="2"/>
    <n v="4.5"/>
    <n v="4"/>
    <x v="24"/>
    <s v="Yes"/>
  </r>
  <r>
    <x v="30"/>
    <n v="25"/>
    <x v="1"/>
    <x v="7"/>
    <x v="0"/>
    <x v="29"/>
    <n v="2"/>
    <n v="53.1"/>
    <x v="1"/>
    <x v="2"/>
    <n v="6.1"/>
    <n v="1"/>
    <x v="4"/>
    <s v="No"/>
  </r>
  <r>
    <x v="31"/>
    <n v="21"/>
    <x v="0"/>
    <x v="4"/>
    <x v="3"/>
    <x v="30"/>
    <n v="10"/>
    <n v="70.2"/>
    <x v="2"/>
    <x v="2"/>
    <n v="2.2000000000000002"/>
    <n v="3"/>
    <x v="25"/>
    <s v="No"/>
  </r>
  <r>
    <x v="32"/>
    <n v="23"/>
    <x v="1"/>
    <x v="7"/>
    <x v="0"/>
    <x v="31"/>
    <n v="8"/>
    <n v="60"/>
    <x v="2"/>
    <x v="0"/>
    <n v="6.6"/>
    <n v="9"/>
    <x v="26"/>
    <s v="Yes"/>
  </r>
  <r>
    <x v="33"/>
    <n v="25"/>
    <x v="1"/>
    <x v="1"/>
    <x v="1"/>
    <x v="32"/>
    <n v="4"/>
    <n v="84.4"/>
    <x v="1"/>
    <x v="1"/>
    <n v="8.9"/>
    <n v="1"/>
    <x v="27"/>
    <s v="No"/>
  </r>
  <r>
    <x v="34"/>
    <n v="21"/>
    <x v="1"/>
    <x v="6"/>
    <x v="1"/>
    <x v="33"/>
    <n v="6"/>
    <n v="71.900000000000006"/>
    <x v="2"/>
    <x v="3"/>
    <n v="3.4"/>
    <n v="1"/>
    <x v="28"/>
    <s v="Yes"/>
  </r>
  <r>
    <x v="35"/>
    <n v="25"/>
    <x v="0"/>
    <x v="2"/>
    <x v="1"/>
    <x v="34"/>
    <n v="6"/>
    <n v="83.3"/>
    <x v="0"/>
    <x v="3"/>
    <n v="0.4"/>
    <n v="4"/>
    <x v="0"/>
    <s v="No"/>
  </r>
  <r>
    <x v="36"/>
    <n v="22"/>
    <x v="1"/>
    <x v="4"/>
    <x v="2"/>
    <x v="35"/>
    <n v="10"/>
    <n v="64.900000000000006"/>
    <x v="1"/>
    <x v="4"/>
    <n v="6.6"/>
    <n v="6"/>
    <x v="29"/>
    <s v="Yes"/>
  </r>
  <r>
    <x v="37"/>
    <n v="21"/>
    <x v="0"/>
    <x v="3"/>
    <x v="1"/>
    <x v="36"/>
    <n v="7"/>
    <n v="88.6"/>
    <x v="0"/>
    <x v="4"/>
    <n v="5.8"/>
    <n v="10"/>
    <x v="30"/>
    <s v="No"/>
  </r>
  <r>
    <x v="38"/>
    <n v="25"/>
    <x v="0"/>
    <x v="7"/>
    <x v="1"/>
    <x v="37"/>
    <n v="4"/>
    <n v="63.3"/>
    <x v="2"/>
    <x v="3"/>
    <n v="1.7"/>
    <n v="5"/>
    <x v="31"/>
    <s v="No"/>
  </r>
  <r>
    <x v="39"/>
    <n v="19"/>
    <x v="1"/>
    <x v="5"/>
    <x v="1"/>
    <x v="38"/>
    <n v="2"/>
    <n v="62.5"/>
    <x v="2"/>
    <x v="3"/>
    <n v="4.3"/>
    <n v="4"/>
    <x v="32"/>
    <s v="Yes"/>
  </r>
  <r>
    <x v="40"/>
    <n v="27"/>
    <x v="0"/>
    <x v="2"/>
    <x v="1"/>
    <x v="39"/>
    <n v="3"/>
    <n v="54.8"/>
    <x v="2"/>
    <x v="3"/>
    <n v="1.2"/>
    <n v="9"/>
    <x v="30"/>
    <s v="No"/>
  </r>
  <r>
    <x v="41"/>
    <n v="17"/>
    <x v="0"/>
    <x v="0"/>
    <x v="2"/>
    <x v="40"/>
    <n v="3"/>
    <n v="57.3"/>
    <x v="1"/>
    <x v="1"/>
    <n v="3.9"/>
    <n v="3"/>
    <x v="9"/>
    <s v="No"/>
  </r>
  <r>
    <x v="42"/>
    <n v="18"/>
    <x v="1"/>
    <x v="3"/>
    <x v="1"/>
    <x v="41"/>
    <n v="5"/>
    <n v="76.8"/>
    <x v="1"/>
    <x v="0"/>
    <n v="2.7"/>
    <n v="8"/>
    <x v="33"/>
    <s v="Yes"/>
  </r>
  <r>
    <x v="43"/>
    <n v="23"/>
    <x v="0"/>
    <x v="0"/>
    <x v="2"/>
    <x v="42"/>
    <n v="2"/>
    <n v="71.599999999999994"/>
    <x v="1"/>
    <x v="4"/>
    <n v="3.5"/>
    <n v="6"/>
    <x v="34"/>
    <s v="No"/>
  </r>
  <r>
    <x v="44"/>
    <n v="17"/>
    <x v="1"/>
    <x v="7"/>
    <x v="0"/>
    <x v="43"/>
    <n v="6"/>
    <n v="53.8"/>
    <x v="1"/>
    <x v="3"/>
    <n v="6.8"/>
    <n v="9"/>
    <x v="21"/>
    <s v="Yes"/>
  </r>
  <r>
    <x v="45"/>
    <n v="25"/>
    <x v="0"/>
    <x v="8"/>
    <x v="2"/>
    <x v="44"/>
    <n v="5"/>
    <n v="50.3"/>
    <x v="1"/>
    <x v="1"/>
    <n v="6.8"/>
    <n v="10"/>
    <x v="35"/>
    <s v="No"/>
  </r>
  <r>
    <x v="46"/>
    <n v="17"/>
    <x v="1"/>
    <x v="6"/>
    <x v="1"/>
    <x v="45"/>
    <n v="3"/>
    <n v="78.8"/>
    <x v="0"/>
    <x v="1"/>
    <n v="7"/>
    <n v="4"/>
    <x v="21"/>
    <s v="Yes"/>
  </r>
  <r>
    <x v="47"/>
    <n v="24"/>
    <x v="1"/>
    <x v="7"/>
    <x v="2"/>
    <x v="46"/>
    <n v="4"/>
    <n v="66.3"/>
    <x v="2"/>
    <x v="2"/>
    <n v="4"/>
    <n v="8"/>
    <x v="10"/>
    <s v="Yes"/>
  </r>
  <r>
    <x v="48"/>
    <n v="23"/>
    <x v="1"/>
    <x v="0"/>
    <x v="0"/>
    <x v="47"/>
    <n v="8"/>
    <n v="98.6"/>
    <x v="0"/>
    <x v="3"/>
    <n v="7.7"/>
    <n v="4"/>
    <x v="30"/>
    <s v="No"/>
  </r>
  <r>
    <x v="49"/>
    <n v="23"/>
    <x v="1"/>
    <x v="8"/>
    <x v="2"/>
    <x v="48"/>
    <n v="9"/>
    <n v="73.400000000000006"/>
    <x v="1"/>
    <x v="1"/>
    <n v="8.1999999999999993"/>
    <n v="6"/>
    <x v="36"/>
    <s v="Yes"/>
  </r>
  <r>
    <x v="50"/>
    <n v="24"/>
    <x v="1"/>
    <x v="3"/>
    <x v="0"/>
    <x v="49"/>
    <n v="2"/>
    <n v="71.099999999999994"/>
    <x v="2"/>
    <x v="4"/>
    <n v="8"/>
    <n v="9"/>
    <x v="17"/>
    <s v="No"/>
  </r>
  <r>
    <x v="51"/>
    <n v="24"/>
    <x v="0"/>
    <x v="0"/>
    <x v="1"/>
    <x v="50"/>
    <n v="9"/>
    <n v="63"/>
    <x v="0"/>
    <x v="0"/>
    <n v="8.6999999999999993"/>
    <n v="7"/>
    <x v="37"/>
    <s v="Yes"/>
  </r>
  <r>
    <x v="52"/>
    <n v="24"/>
    <x v="1"/>
    <x v="6"/>
    <x v="1"/>
    <x v="51"/>
    <n v="4"/>
    <n v="70.5"/>
    <x v="2"/>
    <x v="1"/>
    <n v="5.3"/>
    <n v="6"/>
    <x v="18"/>
    <s v="Yes"/>
  </r>
  <r>
    <x v="53"/>
    <n v="17"/>
    <x v="1"/>
    <x v="5"/>
    <x v="1"/>
    <x v="52"/>
    <n v="9"/>
    <n v="72.5"/>
    <x v="1"/>
    <x v="2"/>
    <n v="6.1"/>
    <n v="3"/>
    <x v="38"/>
    <s v="Yes"/>
  </r>
  <r>
    <x v="54"/>
    <n v="23"/>
    <x v="1"/>
    <x v="8"/>
    <x v="2"/>
    <x v="53"/>
    <n v="6"/>
    <n v="82"/>
    <x v="2"/>
    <x v="1"/>
    <n v="1.2"/>
    <n v="2"/>
    <x v="39"/>
    <s v="No"/>
  </r>
  <r>
    <x v="55"/>
    <n v="17"/>
    <x v="1"/>
    <x v="1"/>
    <x v="1"/>
    <x v="54"/>
    <n v="8"/>
    <n v="56"/>
    <x v="0"/>
    <x v="1"/>
    <n v="8.1"/>
    <n v="7"/>
    <x v="40"/>
    <s v="Yes"/>
  </r>
  <r>
    <x v="56"/>
    <n v="18"/>
    <x v="0"/>
    <x v="2"/>
    <x v="1"/>
    <x v="55"/>
    <n v="10"/>
    <n v="58.9"/>
    <x v="1"/>
    <x v="2"/>
    <n v="4.4000000000000004"/>
    <n v="7"/>
    <x v="41"/>
    <s v="No"/>
  </r>
  <r>
    <x v="57"/>
    <n v="27"/>
    <x v="0"/>
    <x v="0"/>
    <x v="2"/>
    <x v="56"/>
    <n v="6"/>
    <n v="84.3"/>
    <x v="2"/>
    <x v="4"/>
    <n v="6"/>
    <n v="2"/>
    <x v="28"/>
    <s v="Yes"/>
  </r>
  <r>
    <x v="58"/>
    <n v="27"/>
    <x v="0"/>
    <x v="2"/>
    <x v="1"/>
    <x v="57"/>
    <n v="2"/>
    <n v="85.6"/>
    <x v="0"/>
    <x v="4"/>
    <n v="2.2999999999999998"/>
    <n v="7"/>
    <x v="22"/>
    <s v="Yes"/>
  </r>
  <r>
    <x v="59"/>
    <n v="19"/>
    <x v="1"/>
    <x v="4"/>
    <x v="3"/>
    <x v="58"/>
    <n v="6"/>
    <n v="57.2"/>
    <x v="2"/>
    <x v="2"/>
    <n v="2"/>
    <n v="8"/>
    <x v="34"/>
    <s v="No"/>
  </r>
  <r>
    <x v="60"/>
    <n v="18"/>
    <x v="0"/>
    <x v="2"/>
    <x v="1"/>
    <x v="59"/>
    <n v="8"/>
    <n v="84.6"/>
    <x v="2"/>
    <x v="0"/>
    <n v="3.6"/>
    <n v="8"/>
    <x v="42"/>
    <s v="Yes"/>
  </r>
  <r>
    <x v="61"/>
    <n v="21"/>
    <x v="0"/>
    <x v="8"/>
    <x v="2"/>
    <x v="60"/>
    <n v="10"/>
    <n v="54.8"/>
    <x v="0"/>
    <x v="2"/>
    <n v="7.8"/>
    <n v="7"/>
    <x v="9"/>
    <s v="Yes"/>
  </r>
  <r>
    <x v="62"/>
    <n v="22"/>
    <x v="1"/>
    <x v="0"/>
    <x v="0"/>
    <x v="61"/>
    <n v="2"/>
    <n v="99.7"/>
    <x v="1"/>
    <x v="4"/>
    <n v="6"/>
    <n v="3"/>
    <x v="43"/>
    <s v="Yes"/>
  </r>
  <r>
    <x v="63"/>
    <n v="23"/>
    <x v="1"/>
    <x v="8"/>
    <x v="2"/>
    <x v="62"/>
    <n v="8"/>
    <n v="71.5"/>
    <x v="1"/>
    <x v="4"/>
    <n v="1.6"/>
    <n v="7"/>
    <x v="35"/>
    <s v="Yes"/>
  </r>
  <r>
    <x v="64"/>
    <n v="19"/>
    <x v="1"/>
    <x v="0"/>
    <x v="1"/>
    <x v="60"/>
    <n v="2"/>
    <n v="61.9"/>
    <x v="0"/>
    <x v="2"/>
    <n v="0.4"/>
    <n v="1"/>
    <x v="44"/>
    <s v="No"/>
  </r>
  <r>
    <x v="65"/>
    <n v="21"/>
    <x v="1"/>
    <x v="5"/>
    <x v="0"/>
    <x v="63"/>
    <n v="5"/>
    <n v="80.099999999999994"/>
    <x v="2"/>
    <x v="2"/>
    <n v="4"/>
    <n v="9"/>
    <x v="45"/>
    <s v="Yes"/>
  </r>
  <r>
    <x v="66"/>
    <n v="18"/>
    <x v="0"/>
    <x v="6"/>
    <x v="1"/>
    <x v="64"/>
    <n v="10"/>
    <n v="84.6"/>
    <x v="1"/>
    <x v="1"/>
    <n v="0.9"/>
    <n v="5"/>
    <x v="46"/>
    <s v="No"/>
  </r>
  <r>
    <x v="67"/>
    <n v="18"/>
    <x v="0"/>
    <x v="3"/>
    <x v="1"/>
    <x v="65"/>
    <n v="3"/>
    <n v="71.400000000000006"/>
    <x v="2"/>
    <x v="0"/>
    <n v="7.7"/>
    <n v="10"/>
    <x v="47"/>
    <s v="Yes"/>
  </r>
  <r>
    <x v="68"/>
    <n v="21"/>
    <x v="1"/>
    <x v="3"/>
    <x v="0"/>
    <x v="66"/>
    <n v="5"/>
    <n v="88.2"/>
    <x v="1"/>
    <x v="0"/>
    <n v="1.4"/>
    <n v="2"/>
    <x v="39"/>
    <s v="Yes"/>
  </r>
  <r>
    <x v="69"/>
    <n v="19"/>
    <x v="0"/>
    <x v="2"/>
    <x v="0"/>
    <x v="67"/>
    <n v="5"/>
    <n v="93.9"/>
    <x v="1"/>
    <x v="0"/>
    <n v="2.8"/>
    <n v="7"/>
    <x v="14"/>
    <s v="No"/>
  </r>
  <r>
    <x v="70"/>
    <n v="24"/>
    <x v="1"/>
    <x v="3"/>
    <x v="1"/>
    <x v="68"/>
    <n v="10"/>
    <n v="87"/>
    <x v="0"/>
    <x v="2"/>
    <n v="8.5"/>
    <n v="4"/>
    <x v="48"/>
    <s v="Yes"/>
  </r>
  <r>
    <x v="71"/>
    <n v="19"/>
    <x v="0"/>
    <x v="2"/>
    <x v="0"/>
    <x v="69"/>
    <n v="7"/>
    <n v="66.8"/>
    <x v="2"/>
    <x v="4"/>
    <n v="2.7"/>
    <n v="1"/>
    <x v="8"/>
    <s v="Yes"/>
  </r>
  <r>
    <x v="72"/>
    <n v="18"/>
    <x v="0"/>
    <x v="2"/>
    <x v="0"/>
    <x v="70"/>
    <n v="9"/>
    <n v="57.5"/>
    <x v="1"/>
    <x v="4"/>
    <n v="0.9"/>
    <n v="10"/>
    <x v="3"/>
    <s v="No"/>
  </r>
  <r>
    <x v="73"/>
    <n v="23"/>
    <x v="1"/>
    <x v="1"/>
    <x v="1"/>
    <x v="71"/>
    <n v="8"/>
    <n v="64.400000000000006"/>
    <x v="2"/>
    <x v="0"/>
    <n v="8.8000000000000007"/>
    <n v="6"/>
    <x v="49"/>
    <s v="Yes"/>
  </r>
  <r>
    <x v="74"/>
    <n v="18"/>
    <x v="0"/>
    <x v="4"/>
    <x v="0"/>
    <x v="72"/>
    <n v="6"/>
    <n v="85.7"/>
    <x v="1"/>
    <x v="0"/>
    <n v="2.9"/>
    <n v="8"/>
    <x v="14"/>
    <s v="Yes"/>
  </r>
  <r>
    <x v="75"/>
    <n v="24"/>
    <x v="1"/>
    <x v="8"/>
    <x v="0"/>
    <x v="73"/>
    <n v="7"/>
    <n v="93.1"/>
    <x v="0"/>
    <x v="1"/>
    <n v="1.3"/>
    <n v="10"/>
    <x v="50"/>
    <s v="No"/>
  </r>
  <r>
    <x v="76"/>
    <n v="26"/>
    <x v="1"/>
    <x v="0"/>
    <x v="1"/>
    <x v="74"/>
    <n v="4"/>
    <n v="66.099999999999994"/>
    <x v="1"/>
    <x v="1"/>
    <n v="9"/>
    <n v="6"/>
    <x v="51"/>
    <s v="No"/>
  </r>
  <r>
    <x v="77"/>
    <n v="25"/>
    <x v="1"/>
    <x v="3"/>
    <x v="0"/>
    <x v="75"/>
    <n v="3"/>
    <n v="50"/>
    <x v="0"/>
    <x v="4"/>
    <n v="9"/>
    <n v="6"/>
    <x v="14"/>
    <s v="Yes"/>
  </r>
  <r>
    <x v="78"/>
    <n v="21"/>
    <x v="0"/>
    <x v="3"/>
    <x v="0"/>
    <x v="71"/>
    <n v="7"/>
    <n v="72.400000000000006"/>
    <x v="1"/>
    <x v="2"/>
    <n v="2.7"/>
    <n v="6"/>
    <x v="52"/>
    <s v="No"/>
  </r>
  <r>
    <x v="79"/>
    <n v="19"/>
    <x v="0"/>
    <x v="7"/>
    <x v="1"/>
    <x v="76"/>
    <n v="2"/>
    <n v="65.3"/>
    <x v="1"/>
    <x v="2"/>
    <n v="3.3"/>
    <n v="4"/>
    <x v="53"/>
    <s v="No"/>
  </r>
  <r>
    <x v="80"/>
    <n v="23"/>
    <x v="0"/>
    <x v="6"/>
    <x v="2"/>
    <x v="77"/>
    <n v="7"/>
    <n v="88.4"/>
    <x v="0"/>
    <x v="3"/>
    <n v="8.1"/>
    <n v="9"/>
    <x v="41"/>
    <s v="Yes"/>
  </r>
  <r>
    <x v="81"/>
    <n v="20"/>
    <x v="0"/>
    <x v="7"/>
    <x v="0"/>
    <x v="78"/>
    <n v="4"/>
    <n v="57.1"/>
    <x v="2"/>
    <x v="2"/>
    <n v="0.1"/>
    <n v="7"/>
    <x v="46"/>
    <s v="Yes"/>
  </r>
  <r>
    <x v="82"/>
    <n v="26"/>
    <x v="0"/>
    <x v="6"/>
    <x v="2"/>
    <x v="60"/>
    <n v="5"/>
    <n v="93.3"/>
    <x v="1"/>
    <x v="3"/>
    <n v="3.3"/>
    <n v="10"/>
    <x v="15"/>
    <s v="Yes"/>
  </r>
  <r>
    <x v="83"/>
    <n v="22"/>
    <x v="0"/>
    <x v="1"/>
    <x v="1"/>
    <x v="58"/>
    <n v="3"/>
    <n v="89.7"/>
    <x v="1"/>
    <x v="2"/>
    <n v="8.5"/>
    <n v="9"/>
    <x v="39"/>
    <s v="Yes"/>
  </r>
  <r>
    <x v="84"/>
    <n v="26"/>
    <x v="1"/>
    <x v="3"/>
    <x v="0"/>
    <x v="79"/>
    <n v="4"/>
    <n v="75"/>
    <x v="2"/>
    <x v="1"/>
    <n v="5.0999999999999996"/>
    <n v="6"/>
    <x v="39"/>
    <s v="Yes"/>
  </r>
  <r>
    <x v="85"/>
    <n v="26"/>
    <x v="1"/>
    <x v="8"/>
    <x v="0"/>
    <x v="74"/>
    <n v="5"/>
    <n v="71.400000000000006"/>
    <x v="2"/>
    <x v="1"/>
    <n v="2.1"/>
    <n v="5"/>
    <x v="50"/>
    <s v="No"/>
  </r>
  <r>
    <x v="86"/>
    <n v="23"/>
    <x v="0"/>
    <x v="1"/>
    <x v="1"/>
    <x v="80"/>
    <n v="6"/>
    <n v="54.1"/>
    <x v="0"/>
    <x v="4"/>
    <n v="2.2999999999999998"/>
    <n v="5"/>
    <x v="23"/>
    <s v="Yes"/>
  </r>
  <r>
    <x v="87"/>
    <n v="25"/>
    <x v="1"/>
    <x v="0"/>
    <x v="1"/>
    <x v="28"/>
    <n v="9"/>
    <n v="95.3"/>
    <x v="1"/>
    <x v="0"/>
    <n v="6.2"/>
    <n v="5"/>
    <x v="31"/>
    <s v="No"/>
  </r>
  <r>
    <x v="88"/>
    <n v="18"/>
    <x v="1"/>
    <x v="5"/>
    <x v="1"/>
    <x v="81"/>
    <n v="3"/>
    <n v="69.5"/>
    <x v="1"/>
    <x v="3"/>
    <n v="1.6"/>
    <n v="10"/>
    <x v="25"/>
    <s v="Yes"/>
  </r>
  <r>
    <x v="89"/>
    <n v="27"/>
    <x v="0"/>
    <x v="5"/>
    <x v="0"/>
    <x v="82"/>
    <n v="2"/>
    <n v="67.900000000000006"/>
    <x v="1"/>
    <x v="1"/>
    <n v="2.7"/>
    <n v="2"/>
    <x v="10"/>
    <s v="No"/>
  </r>
  <r>
    <x v="90"/>
    <n v="24"/>
    <x v="1"/>
    <x v="3"/>
    <x v="1"/>
    <x v="83"/>
    <n v="3"/>
    <n v="62.6"/>
    <x v="0"/>
    <x v="0"/>
    <n v="2.2000000000000002"/>
    <n v="1"/>
    <x v="23"/>
    <s v="No"/>
  </r>
  <r>
    <x v="91"/>
    <n v="20"/>
    <x v="1"/>
    <x v="2"/>
    <x v="1"/>
    <x v="84"/>
    <n v="7"/>
    <n v="91.6"/>
    <x v="1"/>
    <x v="4"/>
    <n v="5.3"/>
    <n v="4"/>
    <x v="54"/>
    <s v="No"/>
  </r>
  <r>
    <x v="92"/>
    <n v="24"/>
    <x v="0"/>
    <x v="0"/>
    <x v="1"/>
    <x v="32"/>
    <n v="8"/>
    <n v="83.2"/>
    <x v="2"/>
    <x v="4"/>
    <n v="3.9"/>
    <n v="7"/>
    <x v="55"/>
    <s v="No"/>
  </r>
  <r>
    <x v="93"/>
    <n v="19"/>
    <x v="0"/>
    <x v="1"/>
    <x v="0"/>
    <x v="85"/>
    <n v="5"/>
    <n v="85.2"/>
    <x v="1"/>
    <x v="4"/>
    <n v="2"/>
    <n v="2"/>
    <x v="4"/>
    <s v="No"/>
  </r>
  <r>
    <x v="94"/>
    <n v="27"/>
    <x v="0"/>
    <x v="7"/>
    <x v="2"/>
    <x v="25"/>
    <n v="5"/>
    <n v="87"/>
    <x v="2"/>
    <x v="0"/>
    <n v="2.5"/>
    <n v="9"/>
    <x v="22"/>
    <s v="No"/>
  </r>
  <r>
    <x v="95"/>
    <n v="25"/>
    <x v="0"/>
    <x v="7"/>
    <x v="2"/>
    <x v="86"/>
    <n v="8"/>
    <n v="98.9"/>
    <x v="1"/>
    <x v="0"/>
    <n v="3.7"/>
    <n v="2"/>
    <x v="46"/>
    <s v="Yes"/>
  </r>
  <r>
    <x v="96"/>
    <n v="18"/>
    <x v="0"/>
    <x v="1"/>
    <x v="1"/>
    <x v="87"/>
    <n v="6"/>
    <n v="80.8"/>
    <x v="1"/>
    <x v="2"/>
    <n v="2.2999999999999998"/>
    <n v="7"/>
    <x v="11"/>
    <s v="No"/>
  </r>
  <r>
    <x v="97"/>
    <n v="19"/>
    <x v="0"/>
    <x v="2"/>
    <x v="0"/>
    <x v="88"/>
    <n v="8"/>
    <n v="57.6"/>
    <x v="2"/>
    <x v="4"/>
    <n v="0.9"/>
    <n v="5"/>
    <x v="19"/>
    <s v="No"/>
  </r>
  <r>
    <x v="98"/>
    <n v="17"/>
    <x v="1"/>
    <x v="4"/>
    <x v="2"/>
    <x v="89"/>
    <n v="8"/>
    <n v="96.2"/>
    <x v="2"/>
    <x v="4"/>
    <n v="8.8000000000000007"/>
    <n v="5"/>
    <x v="13"/>
    <s v="No"/>
  </r>
  <r>
    <x v="99"/>
    <n v="17"/>
    <x v="0"/>
    <x v="0"/>
    <x v="1"/>
    <x v="90"/>
    <n v="10"/>
    <n v="99.6"/>
    <x v="1"/>
    <x v="2"/>
    <n v="3"/>
    <n v="6"/>
    <x v="42"/>
    <s v="No"/>
  </r>
  <r>
    <x v="100"/>
    <n v="19"/>
    <x v="0"/>
    <x v="0"/>
    <x v="1"/>
    <x v="91"/>
    <n v="9"/>
    <n v="97.4"/>
    <x v="1"/>
    <x v="2"/>
    <n v="4.2"/>
    <n v="7"/>
    <x v="19"/>
    <s v="No"/>
  </r>
  <r>
    <x v="101"/>
    <n v="25"/>
    <x v="1"/>
    <x v="3"/>
    <x v="0"/>
    <x v="15"/>
    <n v="6"/>
    <n v="84"/>
    <x v="0"/>
    <x v="3"/>
    <n v="8.9"/>
    <n v="8"/>
    <x v="25"/>
    <s v="No"/>
  </r>
  <r>
    <x v="102"/>
    <n v="25"/>
    <x v="0"/>
    <x v="7"/>
    <x v="1"/>
    <x v="78"/>
    <n v="10"/>
    <n v="90.2"/>
    <x v="0"/>
    <x v="0"/>
    <n v="5.4"/>
    <n v="2"/>
    <x v="26"/>
    <s v="Yes"/>
  </r>
  <r>
    <x v="103"/>
    <n v="23"/>
    <x v="0"/>
    <x v="8"/>
    <x v="1"/>
    <x v="92"/>
    <n v="8"/>
    <n v="61"/>
    <x v="0"/>
    <x v="1"/>
    <n v="2.9"/>
    <n v="1"/>
    <x v="25"/>
    <s v="No"/>
  </r>
  <r>
    <x v="104"/>
    <n v="17"/>
    <x v="1"/>
    <x v="5"/>
    <x v="2"/>
    <x v="93"/>
    <n v="3"/>
    <n v="94.5"/>
    <x v="1"/>
    <x v="4"/>
    <n v="2"/>
    <n v="2"/>
    <x v="37"/>
    <s v="Yes"/>
  </r>
  <r>
    <x v="105"/>
    <n v="21"/>
    <x v="0"/>
    <x v="4"/>
    <x v="2"/>
    <x v="94"/>
    <n v="9"/>
    <n v="99.9"/>
    <x v="0"/>
    <x v="2"/>
    <n v="3.8"/>
    <n v="2"/>
    <x v="42"/>
    <s v="No"/>
  </r>
  <r>
    <x v="106"/>
    <n v="27"/>
    <x v="1"/>
    <x v="1"/>
    <x v="1"/>
    <x v="6"/>
    <n v="6"/>
    <n v="77.3"/>
    <x v="2"/>
    <x v="1"/>
    <n v="5.7"/>
    <n v="4"/>
    <x v="27"/>
    <s v="Yes"/>
  </r>
  <r>
    <x v="107"/>
    <n v="23"/>
    <x v="1"/>
    <x v="4"/>
    <x v="0"/>
    <x v="95"/>
    <n v="8"/>
    <n v="50.9"/>
    <x v="2"/>
    <x v="0"/>
    <n v="8.5"/>
    <n v="6"/>
    <x v="18"/>
    <s v="No"/>
  </r>
  <r>
    <x v="108"/>
    <n v="18"/>
    <x v="0"/>
    <x v="1"/>
    <x v="1"/>
    <x v="96"/>
    <n v="5"/>
    <n v="79.400000000000006"/>
    <x v="0"/>
    <x v="4"/>
    <n v="5.7"/>
    <n v="7"/>
    <x v="56"/>
    <s v="Yes"/>
  </r>
  <r>
    <x v="109"/>
    <n v="27"/>
    <x v="1"/>
    <x v="5"/>
    <x v="1"/>
    <x v="97"/>
    <n v="7"/>
    <n v="89.2"/>
    <x v="0"/>
    <x v="0"/>
    <n v="6.6"/>
    <n v="5"/>
    <x v="29"/>
    <s v="Yes"/>
  </r>
  <r>
    <x v="110"/>
    <n v="18"/>
    <x v="1"/>
    <x v="3"/>
    <x v="0"/>
    <x v="23"/>
    <n v="5"/>
    <n v="60.8"/>
    <x v="1"/>
    <x v="4"/>
    <n v="2.6"/>
    <n v="3"/>
    <x v="43"/>
    <s v="No"/>
  </r>
  <r>
    <x v="111"/>
    <n v="21"/>
    <x v="1"/>
    <x v="3"/>
    <x v="1"/>
    <x v="98"/>
    <n v="7"/>
    <n v="67.099999999999994"/>
    <x v="2"/>
    <x v="1"/>
    <n v="0.1"/>
    <n v="1"/>
    <x v="48"/>
    <s v="No"/>
  </r>
  <r>
    <x v="112"/>
    <n v="19"/>
    <x v="1"/>
    <x v="5"/>
    <x v="2"/>
    <x v="10"/>
    <n v="5"/>
    <n v="59.9"/>
    <x v="0"/>
    <x v="0"/>
    <n v="2.9"/>
    <n v="10"/>
    <x v="41"/>
    <s v="Yes"/>
  </r>
  <r>
    <x v="113"/>
    <n v="18"/>
    <x v="1"/>
    <x v="4"/>
    <x v="0"/>
    <x v="99"/>
    <n v="8"/>
    <n v="70.400000000000006"/>
    <x v="1"/>
    <x v="3"/>
    <n v="6.4"/>
    <n v="4"/>
    <x v="16"/>
    <s v="No"/>
  </r>
  <r>
    <x v="114"/>
    <n v="26"/>
    <x v="0"/>
    <x v="4"/>
    <x v="2"/>
    <x v="100"/>
    <n v="3"/>
    <n v="60.4"/>
    <x v="0"/>
    <x v="2"/>
    <n v="1.3"/>
    <n v="5"/>
    <x v="16"/>
    <s v="No"/>
  </r>
  <r>
    <x v="115"/>
    <n v="19"/>
    <x v="0"/>
    <x v="1"/>
    <x v="0"/>
    <x v="101"/>
    <n v="2"/>
    <n v="92.1"/>
    <x v="1"/>
    <x v="2"/>
    <n v="3.1"/>
    <n v="7"/>
    <x v="39"/>
    <s v="Yes"/>
  </r>
  <r>
    <x v="116"/>
    <n v="19"/>
    <x v="0"/>
    <x v="7"/>
    <x v="1"/>
    <x v="102"/>
    <n v="5"/>
    <n v="75.400000000000006"/>
    <x v="2"/>
    <x v="2"/>
    <n v="3"/>
    <n v="8"/>
    <x v="0"/>
    <s v="Yes"/>
  </r>
  <r>
    <x v="117"/>
    <n v="18"/>
    <x v="1"/>
    <x v="6"/>
    <x v="0"/>
    <x v="103"/>
    <n v="9"/>
    <n v="88.7"/>
    <x v="0"/>
    <x v="2"/>
    <n v="5.9"/>
    <n v="5"/>
    <x v="55"/>
    <s v="Yes"/>
  </r>
  <r>
    <x v="118"/>
    <n v="20"/>
    <x v="1"/>
    <x v="5"/>
    <x v="1"/>
    <x v="104"/>
    <n v="10"/>
    <n v="90.7"/>
    <x v="2"/>
    <x v="2"/>
    <n v="0.4"/>
    <n v="9"/>
    <x v="2"/>
    <s v="Yes"/>
  </r>
  <r>
    <x v="119"/>
    <n v="19"/>
    <x v="1"/>
    <x v="2"/>
    <x v="0"/>
    <x v="105"/>
    <n v="4"/>
    <n v="65.7"/>
    <x v="0"/>
    <x v="2"/>
    <n v="3.7"/>
    <n v="5"/>
    <x v="28"/>
    <s v="Yes"/>
  </r>
  <r>
    <x v="120"/>
    <n v="17"/>
    <x v="0"/>
    <x v="8"/>
    <x v="2"/>
    <x v="106"/>
    <n v="3"/>
    <n v="63"/>
    <x v="2"/>
    <x v="4"/>
    <n v="6"/>
    <n v="8"/>
    <x v="27"/>
    <s v="Yes"/>
  </r>
  <r>
    <x v="121"/>
    <n v="26"/>
    <x v="0"/>
    <x v="6"/>
    <x v="0"/>
    <x v="107"/>
    <n v="5"/>
    <n v="70.5"/>
    <x v="0"/>
    <x v="0"/>
    <n v="6.7"/>
    <n v="10"/>
    <x v="17"/>
    <s v="Yes"/>
  </r>
  <r>
    <x v="122"/>
    <n v="25"/>
    <x v="0"/>
    <x v="4"/>
    <x v="0"/>
    <x v="108"/>
    <n v="5"/>
    <n v="82"/>
    <x v="0"/>
    <x v="1"/>
    <n v="5.8"/>
    <n v="9"/>
    <x v="47"/>
    <s v="No"/>
  </r>
  <r>
    <x v="123"/>
    <n v="23"/>
    <x v="0"/>
    <x v="4"/>
    <x v="2"/>
    <x v="109"/>
    <n v="10"/>
    <n v="92.4"/>
    <x v="0"/>
    <x v="2"/>
    <n v="4.4000000000000004"/>
    <n v="7"/>
    <x v="36"/>
    <s v="No"/>
  </r>
  <r>
    <x v="124"/>
    <n v="20"/>
    <x v="1"/>
    <x v="2"/>
    <x v="0"/>
    <x v="110"/>
    <n v="3"/>
    <n v="93"/>
    <x v="0"/>
    <x v="1"/>
    <n v="8.6"/>
    <n v="6"/>
    <x v="51"/>
    <s v="Yes"/>
  </r>
  <r>
    <x v="125"/>
    <n v="20"/>
    <x v="1"/>
    <x v="6"/>
    <x v="1"/>
    <x v="111"/>
    <n v="7"/>
    <n v="54.7"/>
    <x v="1"/>
    <x v="1"/>
    <n v="5.3"/>
    <n v="7"/>
    <x v="57"/>
    <s v="No"/>
  </r>
  <r>
    <x v="126"/>
    <n v="25"/>
    <x v="0"/>
    <x v="1"/>
    <x v="0"/>
    <x v="112"/>
    <n v="8"/>
    <n v="79.8"/>
    <x v="2"/>
    <x v="2"/>
    <n v="6.8"/>
    <n v="10"/>
    <x v="47"/>
    <s v="Yes"/>
  </r>
  <r>
    <x v="127"/>
    <n v="23"/>
    <x v="1"/>
    <x v="5"/>
    <x v="1"/>
    <x v="113"/>
    <n v="3"/>
    <n v="93.6"/>
    <x v="1"/>
    <x v="4"/>
    <n v="1"/>
    <n v="3"/>
    <x v="48"/>
    <s v="No"/>
  </r>
  <r>
    <x v="128"/>
    <n v="25"/>
    <x v="1"/>
    <x v="4"/>
    <x v="2"/>
    <x v="15"/>
    <n v="7"/>
    <n v="75.2"/>
    <x v="1"/>
    <x v="2"/>
    <n v="4.0999999999999996"/>
    <n v="1"/>
    <x v="47"/>
    <s v="No"/>
  </r>
  <r>
    <x v="129"/>
    <n v="17"/>
    <x v="1"/>
    <x v="5"/>
    <x v="2"/>
    <x v="87"/>
    <n v="2"/>
    <n v="97.8"/>
    <x v="2"/>
    <x v="4"/>
    <n v="0.2"/>
    <n v="5"/>
    <x v="37"/>
    <s v="No"/>
  </r>
  <r>
    <x v="130"/>
    <n v="18"/>
    <x v="0"/>
    <x v="2"/>
    <x v="0"/>
    <x v="114"/>
    <n v="3"/>
    <n v="75.3"/>
    <x v="0"/>
    <x v="1"/>
    <n v="5.4"/>
    <n v="8"/>
    <x v="31"/>
    <s v="No"/>
  </r>
  <r>
    <x v="131"/>
    <n v="20"/>
    <x v="1"/>
    <x v="3"/>
    <x v="1"/>
    <x v="115"/>
    <n v="7"/>
    <n v="73.8"/>
    <x v="0"/>
    <x v="1"/>
    <n v="8.1999999999999993"/>
    <n v="5"/>
    <x v="36"/>
    <s v="Yes"/>
  </r>
  <r>
    <x v="132"/>
    <n v="26"/>
    <x v="1"/>
    <x v="2"/>
    <x v="0"/>
    <x v="116"/>
    <n v="9"/>
    <n v="96"/>
    <x v="1"/>
    <x v="1"/>
    <n v="1.6"/>
    <n v="3"/>
    <x v="42"/>
    <s v="Yes"/>
  </r>
  <r>
    <x v="133"/>
    <n v="22"/>
    <x v="0"/>
    <x v="0"/>
    <x v="2"/>
    <x v="17"/>
    <n v="4"/>
    <n v="58.2"/>
    <x v="0"/>
    <x v="1"/>
    <n v="5.3"/>
    <n v="8"/>
    <x v="43"/>
    <s v="Yes"/>
  </r>
  <r>
    <x v="134"/>
    <n v="20"/>
    <x v="1"/>
    <x v="5"/>
    <x v="1"/>
    <x v="117"/>
    <n v="9"/>
    <n v="78.400000000000006"/>
    <x v="2"/>
    <x v="4"/>
    <n v="6.2"/>
    <n v="3"/>
    <x v="0"/>
    <s v="Yes"/>
  </r>
  <r>
    <x v="135"/>
    <n v="27"/>
    <x v="0"/>
    <x v="3"/>
    <x v="1"/>
    <x v="118"/>
    <n v="2"/>
    <n v="73.3"/>
    <x v="0"/>
    <x v="0"/>
    <n v="2.1"/>
    <n v="10"/>
    <x v="32"/>
    <s v="No"/>
  </r>
  <r>
    <x v="136"/>
    <n v="20"/>
    <x v="1"/>
    <x v="4"/>
    <x v="1"/>
    <x v="65"/>
    <n v="3"/>
    <n v="83.2"/>
    <x v="0"/>
    <x v="0"/>
    <n v="4.5999999999999996"/>
    <n v="3"/>
    <x v="26"/>
    <s v="No"/>
  </r>
  <r>
    <x v="137"/>
    <n v="25"/>
    <x v="0"/>
    <x v="8"/>
    <x v="1"/>
    <x v="119"/>
    <n v="6"/>
    <n v="66.900000000000006"/>
    <x v="0"/>
    <x v="3"/>
    <n v="6.1"/>
    <n v="6"/>
    <x v="42"/>
    <s v="Yes"/>
  </r>
  <r>
    <x v="138"/>
    <n v="23"/>
    <x v="1"/>
    <x v="8"/>
    <x v="0"/>
    <x v="120"/>
    <n v="10"/>
    <n v="93"/>
    <x v="0"/>
    <x v="1"/>
    <n v="7.8"/>
    <n v="8"/>
    <x v="14"/>
    <s v="No"/>
  </r>
  <r>
    <x v="139"/>
    <n v="25"/>
    <x v="0"/>
    <x v="5"/>
    <x v="2"/>
    <x v="121"/>
    <n v="2"/>
    <n v="80.099999999999994"/>
    <x v="1"/>
    <x v="4"/>
    <n v="3.7"/>
    <n v="2"/>
    <x v="40"/>
    <s v="Yes"/>
  </r>
  <r>
    <x v="140"/>
    <n v="24"/>
    <x v="0"/>
    <x v="0"/>
    <x v="0"/>
    <x v="122"/>
    <n v="4"/>
    <n v="64"/>
    <x v="2"/>
    <x v="3"/>
    <n v="3"/>
    <n v="7"/>
    <x v="8"/>
    <s v="Yes"/>
  </r>
  <r>
    <x v="141"/>
    <n v="23"/>
    <x v="0"/>
    <x v="4"/>
    <x v="1"/>
    <x v="123"/>
    <n v="9"/>
    <n v="79.5"/>
    <x v="1"/>
    <x v="4"/>
    <n v="5.8"/>
    <n v="5"/>
    <x v="53"/>
    <s v="Yes"/>
  </r>
  <r>
    <x v="142"/>
    <n v="26"/>
    <x v="1"/>
    <x v="2"/>
    <x v="0"/>
    <x v="124"/>
    <n v="10"/>
    <n v="95.5"/>
    <x v="1"/>
    <x v="2"/>
    <n v="7"/>
    <n v="1"/>
    <x v="40"/>
    <s v="No"/>
  </r>
  <r>
    <x v="143"/>
    <n v="17"/>
    <x v="0"/>
    <x v="6"/>
    <x v="0"/>
    <x v="125"/>
    <n v="7"/>
    <n v="69.900000000000006"/>
    <x v="0"/>
    <x v="1"/>
    <n v="8.8000000000000007"/>
    <n v="4"/>
    <x v="23"/>
    <s v="No"/>
  </r>
  <r>
    <x v="144"/>
    <n v="19"/>
    <x v="1"/>
    <x v="0"/>
    <x v="2"/>
    <x v="126"/>
    <n v="9"/>
    <n v="86"/>
    <x v="2"/>
    <x v="0"/>
    <n v="7.4"/>
    <n v="2"/>
    <x v="58"/>
    <s v="Yes"/>
  </r>
  <r>
    <x v="145"/>
    <n v="27"/>
    <x v="0"/>
    <x v="8"/>
    <x v="0"/>
    <x v="127"/>
    <n v="6"/>
    <n v="86.3"/>
    <x v="0"/>
    <x v="4"/>
    <n v="6.4"/>
    <n v="1"/>
    <x v="26"/>
    <s v="No"/>
  </r>
  <r>
    <x v="146"/>
    <n v="17"/>
    <x v="0"/>
    <x v="4"/>
    <x v="0"/>
    <x v="128"/>
    <n v="6"/>
    <n v="93.5"/>
    <x v="1"/>
    <x v="2"/>
    <n v="5.3"/>
    <n v="6"/>
    <x v="40"/>
    <s v="Yes"/>
  </r>
  <r>
    <x v="147"/>
    <n v="24"/>
    <x v="0"/>
    <x v="8"/>
    <x v="2"/>
    <x v="129"/>
    <n v="7"/>
    <n v="96.3"/>
    <x v="2"/>
    <x v="1"/>
    <n v="2.1"/>
    <n v="6"/>
    <x v="16"/>
    <s v="Yes"/>
  </r>
  <r>
    <x v="148"/>
    <n v="18"/>
    <x v="1"/>
    <x v="2"/>
    <x v="1"/>
    <x v="2"/>
    <n v="3"/>
    <n v="62.5"/>
    <x v="1"/>
    <x v="4"/>
    <n v="4.4000000000000004"/>
    <n v="6"/>
    <x v="26"/>
    <s v="Yes"/>
  </r>
  <r>
    <x v="149"/>
    <n v="24"/>
    <x v="0"/>
    <x v="8"/>
    <x v="2"/>
    <x v="130"/>
    <n v="9"/>
    <n v="62.8"/>
    <x v="2"/>
    <x v="0"/>
    <n v="0.2"/>
    <n v="1"/>
    <x v="51"/>
    <s v="No"/>
  </r>
  <r>
    <x v="150"/>
    <n v="22"/>
    <x v="0"/>
    <x v="8"/>
    <x v="1"/>
    <x v="21"/>
    <n v="6"/>
    <n v="70.3"/>
    <x v="2"/>
    <x v="3"/>
    <n v="7.6"/>
    <n v="4"/>
    <x v="36"/>
    <s v="No"/>
  </r>
  <r>
    <x v="151"/>
    <n v="25"/>
    <x v="0"/>
    <x v="6"/>
    <x v="1"/>
    <x v="131"/>
    <n v="5"/>
    <n v="70.400000000000006"/>
    <x v="1"/>
    <x v="2"/>
    <n v="0.7"/>
    <n v="4"/>
    <x v="34"/>
    <s v="No"/>
  </r>
  <r>
    <x v="152"/>
    <n v="18"/>
    <x v="1"/>
    <x v="2"/>
    <x v="1"/>
    <x v="132"/>
    <n v="4"/>
    <n v="64.599999999999994"/>
    <x v="1"/>
    <x v="3"/>
    <n v="4.0999999999999996"/>
    <n v="1"/>
    <x v="56"/>
    <s v="No"/>
  </r>
  <r>
    <x v="153"/>
    <n v="20"/>
    <x v="1"/>
    <x v="5"/>
    <x v="0"/>
    <x v="133"/>
    <n v="8"/>
    <n v="87.1"/>
    <x v="1"/>
    <x v="3"/>
    <n v="6.8"/>
    <n v="1"/>
    <x v="13"/>
    <s v="Yes"/>
  </r>
  <r>
    <x v="154"/>
    <n v="19"/>
    <x v="1"/>
    <x v="5"/>
    <x v="0"/>
    <x v="13"/>
    <n v="4"/>
    <n v="77.3"/>
    <x v="0"/>
    <x v="4"/>
    <n v="6"/>
    <n v="8"/>
    <x v="37"/>
    <s v="No"/>
  </r>
  <r>
    <x v="155"/>
    <n v="25"/>
    <x v="1"/>
    <x v="1"/>
    <x v="1"/>
    <x v="134"/>
    <n v="7"/>
    <n v="87.6"/>
    <x v="1"/>
    <x v="3"/>
    <n v="0.2"/>
    <n v="4"/>
    <x v="32"/>
    <s v="No"/>
  </r>
  <r>
    <x v="156"/>
    <n v="23"/>
    <x v="0"/>
    <x v="5"/>
    <x v="0"/>
    <x v="71"/>
    <n v="4"/>
    <n v="92.6"/>
    <x v="1"/>
    <x v="4"/>
    <n v="3.1"/>
    <n v="9"/>
    <x v="45"/>
    <s v="No"/>
  </r>
  <r>
    <x v="157"/>
    <n v="24"/>
    <x v="0"/>
    <x v="8"/>
    <x v="1"/>
    <x v="135"/>
    <n v="6"/>
    <n v="87"/>
    <x v="2"/>
    <x v="4"/>
    <n v="5.8"/>
    <n v="7"/>
    <x v="24"/>
    <s v="No"/>
  </r>
  <r>
    <x v="158"/>
    <n v="26"/>
    <x v="0"/>
    <x v="0"/>
    <x v="1"/>
    <x v="136"/>
    <n v="4"/>
    <n v="86.2"/>
    <x v="0"/>
    <x v="2"/>
    <n v="8.6"/>
    <n v="1"/>
    <x v="13"/>
    <s v="No"/>
  </r>
  <r>
    <x v="159"/>
    <n v="21"/>
    <x v="1"/>
    <x v="7"/>
    <x v="1"/>
    <x v="137"/>
    <n v="4"/>
    <n v="84.3"/>
    <x v="1"/>
    <x v="4"/>
    <n v="8.1"/>
    <n v="2"/>
    <x v="3"/>
    <s v="Yes"/>
  </r>
  <r>
    <x v="160"/>
    <n v="24"/>
    <x v="0"/>
    <x v="4"/>
    <x v="2"/>
    <x v="138"/>
    <n v="5"/>
    <n v="95.3"/>
    <x v="1"/>
    <x v="1"/>
    <n v="8.6999999999999993"/>
    <n v="2"/>
    <x v="52"/>
    <s v="Yes"/>
  </r>
  <r>
    <x v="161"/>
    <n v="20"/>
    <x v="1"/>
    <x v="0"/>
    <x v="1"/>
    <x v="139"/>
    <n v="8"/>
    <n v="64.900000000000006"/>
    <x v="2"/>
    <x v="1"/>
    <n v="2.1"/>
    <n v="3"/>
    <x v="49"/>
    <s v="No"/>
  </r>
  <r>
    <x v="162"/>
    <n v="25"/>
    <x v="0"/>
    <x v="4"/>
    <x v="2"/>
    <x v="140"/>
    <n v="8"/>
    <n v="79.099999999999994"/>
    <x v="2"/>
    <x v="4"/>
    <n v="3.6"/>
    <n v="3"/>
    <x v="3"/>
    <s v="No"/>
  </r>
  <r>
    <x v="163"/>
    <n v="21"/>
    <x v="0"/>
    <x v="3"/>
    <x v="0"/>
    <x v="141"/>
    <n v="6"/>
    <n v="65.599999999999994"/>
    <x v="0"/>
    <x v="2"/>
    <n v="0.7"/>
    <n v="10"/>
    <x v="39"/>
    <s v="No"/>
  </r>
  <r>
    <x v="164"/>
    <n v="21"/>
    <x v="0"/>
    <x v="8"/>
    <x v="2"/>
    <x v="142"/>
    <n v="4"/>
    <n v="55.4"/>
    <x v="0"/>
    <x v="0"/>
    <n v="5.7"/>
    <n v="6"/>
    <x v="40"/>
    <s v="Yes"/>
  </r>
  <r>
    <x v="165"/>
    <n v="18"/>
    <x v="0"/>
    <x v="0"/>
    <x v="0"/>
    <x v="143"/>
    <n v="9"/>
    <n v="76.3"/>
    <x v="0"/>
    <x v="4"/>
    <n v="5"/>
    <n v="3"/>
    <x v="30"/>
    <s v="No"/>
  </r>
  <r>
    <x v="166"/>
    <n v="22"/>
    <x v="1"/>
    <x v="3"/>
    <x v="0"/>
    <x v="89"/>
    <n v="10"/>
    <n v="72.400000000000006"/>
    <x v="2"/>
    <x v="1"/>
    <n v="4.0999999999999996"/>
    <n v="9"/>
    <x v="48"/>
    <s v="Yes"/>
  </r>
  <r>
    <x v="167"/>
    <n v="21"/>
    <x v="1"/>
    <x v="8"/>
    <x v="0"/>
    <x v="144"/>
    <n v="3"/>
    <n v="57.2"/>
    <x v="1"/>
    <x v="4"/>
    <n v="5.9"/>
    <n v="10"/>
    <x v="43"/>
    <s v="No"/>
  </r>
  <r>
    <x v="168"/>
    <n v="21"/>
    <x v="0"/>
    <x v="0"/>
    <x v="0"/>
    <x v="145"/>
    <n v="9"/>
    <n v="94"/>
    <x v="1"/>
    <x v="1"/>
    <n v="1.2"/>
    <n v="9"/>
    <x v="2"/>
    <s v="Yes"/>
  </r>
  <r>
    <x v="169"/>
    <n v="22"/>
    <x v="0"/>
    <x v="3"/>
    <x v="0"/>
    <x v="146"/>
    <n v="2"/>
    <n v="61.9"/>
    <x v="2"/>
    <x v="0"/>
    <n v="2.5"/>
    <n v="4"/>
    <x v="2"/>
    <s v="No"/>
  </r>
  <r>
    <x v="170"/>
    <n v="22"/>
    <x v="1"/>
    <x v="4"/>
    <x v="1"/>
    <x v="147"/>
    <n v="6"/>
    <n v="50.3"/>
    <x v="2"/>
    <x v="4"/>
    <n v="6.7"/>
    <n v="6"/>
    <x v="53"/>
    <s v="Yes"/>
  </r>
  <r>
    <x v="171"/>
    <n v="20"/>
    <x v="1"/>
    <x v="6"/>
    <x v="2"/>
    <x v="148"/>
    <n v="9"/>
    <n v="84.5"/>
    <x v="0"/>
    <x v="1"/>
    <n v="6.3"/>
    <n v="5"/>
    <x v="41"/>
    <s v="Yes"/>
  </r>
  <r>
    <x v="172"/>
    <n v="22"/>
    <x v="1"/>
    <x v="7"/>
    <x v="1"/>
    <x v="72"/>
    <n v="6"/>
    <n v="68.5"/>
    <x v="2"/>
    <x v="2"/>
    <n v="0.5"/>
    <n v="9"/>
    <x v="21"/>
    <s v="Yes"/>
  </r>
  <r>
    <x v="173"/>
    <n v="22"/>
    <x v="0"/>
    <x v="8"/>
    <x v="1"/>
    <x v="149"/>
    <n v="3"/>
    <n v="92.2"/>
    <x v="2"/>
    <x v="0"/>
    <n v="7.7"/>
    <n v="10"/>
    <x v="5"/>
    <s v="No"/>
  </r>
  <r>
    <x v="174"/>
    <n v="20"/>
    <x v="1"/>
    <x v="7"/>
    <x v="0"/>
    <x v="114"/>
    <n v="10"/>
    <n v="84.4"/>
    <x v="1"/>
    <x v="2"/>
    <n v="6.4"/>
    <n v="4"/>
    <x v="42"/>
    <s v="No"/>
  </r>
  <r>
    <x v="175"/>
    <n v="25"/>
    <x v="1"/>
    <x v="6"/>
    <x v="2"/>
    <x v="150"/>
    <n v="7"/>
    <n v="73.900000000000006"/>
    <x v="0"/>
    <x v="1"/>
    <n v="5.4"/>
    <n v="5"/>
    <x v="34"/>
    <s v="Yes"/>
  </r>
  <r>
    <x v="176"/>
    <n v="26"/>
    <x v="1"/>
    <x v="1"/>
    <x v="1"/>
    <x v="151"/>
    <n v="10"/>
    <n v="72.3"/>
    <x v="0"/>
    <x v="2"/>
    <n v="5"/>
    <n v="5"/>
    <x v="24"/>
    <s v="No"/>
  </r>
  <r>
    <x v="177"/>
    <n v="22"/>
    <x v="0"/>
    <x v="7"/>
    <x v="2"/>
    <x v="152"/>
    <n v="8"/>
    <n v="77.8"/>
    <x v="0"/>
    <x v="3"/>
    <n v="6.4"/>
    <n v="5"/>
    <x v="30"/>
    <s v="Yes"/>
  </r>
  <r>
    <x v="178"/>
    <n v="24"/>
    <x v="0"/>
    <x v="5"/>
    <x v="1"/>
    <x v="153"/>
    <n v="3"/>
    <n v="66.2"/>
    <x v="2"/>
    <x v="4"/>
    <n v="6.7"/>
    <n v="1"/>
    <x v="59"/>
    <s v="No"/>
  </r>
  <r>
    <x v="179"/>
    <n v="21"/>
    <x v="1"/>
    <x v="4"/>
    <x v="3"/>
    <x v="154"/>
    <n v="7"/>
    <n v="71"/>
    <x v="2"/>
    <x v="0"/>
    <n v="2.5"/>
    <n v="1"/>
    <x v="47"/>
    <s v="No"/>
  </r>
  <r>
    <x v="180"/>
    <n v="18"/>
    <x v="1"/>
    <x v="0"/>
    <x v="0"/>
    <x v="155"/>
    <n v="3"/>
    <n v="57.3"/>
    <x v="0"/>
    <x v="3"/>
    <n v="6.4"/>
    <n v="6"/>
    <x v="24"/>
    <s v="No"/>
  </r>
  <r>
    <x v="181"/>
    <n v="24"/>
    <x v="0"/>
    <x v="2"/>
    <x v="0"/>
    <x v="156"/>
    <n v="9"/>
    <n v="67.400000000000006"/>
    <x v="0"/>
    <x v="1"/>
    <n v="5.3"/>
    <n v="2"/>
    <x v="59"/>
    <s v="No"/>
  </r>
  <r>
    <x v="182"/>
    <n v="18"/>
    <x v="0"/>
    <x v="5"/>
    <x v="0"/>
    <x v="66"/>
    <n v="4"/>
    <n v="54.2"/>
    <x v="2"/>
    <x v="4"/>
    <n v="5.9"/>
    <n v="6"/>
    <x v="11"/>
    <s v="No"/>
  </r>
  <r>
    <x v="183"/>
    <n v="26"/>
    <x v="0"/>
    <x v="8"/>
    <x v="1"/>
    <x v="157"/>
    <n v="5"/>
    <n v="72.400000000000006"/>
    <x v="0"/>
    <x v="0"/>
    <n v="3.9"/>
    <n v="5"/>
    <x v="50"/>
    <s v="No"/>
  </r>
  <r>
    <x v="184"/>
    <n v="18"/>
    <x v="0"/>
    <x v="1"/>
    <x v="0"/>
    <x v="19"/>
    <n v="8"/>
    <n v="96.2"/>
    <x v="2"/>
    <x v="0"/>
    <n v="5.8"/>
    <n v="9"/>
    <x v="2"/>
    <s v="Yes"/>
  </r>
  <r>
    <x v="185"/>
    <n v="25"/>
    <x v="1"/>
    <x v="2"/>
    <x v="0"/>
    <x v="106"/>
    <n v="7"/>
    <n v="56.6"/>
    <x v="0"/>
    <x v="2"/>
    <n v="2.8"/>
    <n v="6"/>
    <x v="28"/>
    <s v="Yes"/>
  </r>
  <r>
    <x v="186"/>
    <n v="22"/>
    <x v="1"/>
    <x v="7"/>
    <x v="1"/>
    <x v="158"/>
    <n v="10"/>
    <n v="93.8"/>
    <x v="1"/>
    <x v="2"/>
    <n v="2.4"/>
    <n v="3"/>
    <x v="43"/>
    <s v="Yes"/>
  </r>
  <r>
    <x v="187"/>
    <n v="24"/>
    <x v="0"/>
    <x v="5"/>
    <x v="2"/>
    <x v="159"/>
    <n v="9"/>
    <n v="60.4"/>
    <x v="0"/>
    <x v="1"/>
    <n v="3.3"/>
    <n v="7"/>
    <x v="40"/>
    <s v="Yes"/>
  </r>
  <r>
    <x v="188"/>
    <n v="17"/>
    <x v="0"/>
    <x v="1"/>
    <x v="1"/>
    <x v="160"/>
    <n v="9"/>
    <n v="87.6"/>
    <x v="2"/>
    <x v="4"/>
    <n v="7.3"/>
    <n v="3"/>
    <x v="56"/>
    <s v="No"/>
  </r>
  <r>
    <x v="189"/>
    <n v="22"/>
    <x v="1"/>
    <x v="4"/>
    <x v="3"/>
    <x v="161"/>
    <n v="6"/>
    <n v="90.4"/>
    <x v="0"/>
    <x v="3"/>
    <n v="3.6"/>
    <n v="5"/>
    <x v="47"/>
    <s v="No"/>
  </r>
  <r>
    <x v="190"/>
    <n v="23"/>
    <x v="0"/>
    <x v="8"/>
    <x v="2"/>
    <x v="162"/>
    <n v="7"/>
    <n v="74.400000000000006"/>
    <x v="1"/>
    <x v="3"/>
    <n v="0.9"/>
    <n v="6"/>
    <x v="14"/>
    <s v="Yes"/>
  </r>
  <r>
    <x v="191"/>
    <n v="19"/>
    <x v="0"/>
    <x v="4"/>
    <x v="3"/>
    <x v="163"/>
    <n v="3"/>
    <n v="94.7"/>
    <x v="0"/>
    <x v="2"/>
    <n v="6.4"/>
    <n v="9"/>
    <x v="35"/>
    <s v="Yes"/>
  </r>
  <r>
    <x v="192"/>
    <n v="27"/>
    <x v="0"/>
    <x v="0"/>
    <x v="2"/>
    <x v="164"/>
    <n v="6"/>
    <n v="70.3"/>
    <x v="1"/>
    <x v="4"/>
    <n v="3.8"/>
    <n v="1"/>
    <x v="31"/>
    <s v="Yes"/>
  </r>
  <r>
    <x v="193"/>
    <n v="27"/>
    <x v="0"/>
    <x v="2"/>
    <x v="0"/>
    <x v="165"/>
    <n v="6"/>
    <n v="56.7"/>
    <x v="2"/>
    <x v="1"/>
    <n v="5.3"/>
    <n v="1"/>
    <x v="3"/>
    <s v="No"/>
  </r>
  <r>
    <x v="194"/>
    <n v="26"/>
    <x v="1"/>
    <x v="6"/>
    <x v="2"/>
    <x v="166"/>
    <n v="6"/>
    <n v="88"/>
    <x v="1"/>
    <x v="3"/>
    <n v="6.1"/>
    <n v="3"/>
    <x v="36"/>
    <s v="No"/>
  </r>
  <r>
    <x v="195"/>
    <n v="27"/>
    <x v="1"/>
    <x v="2"/>
    <x v="1"/>
    <x v="138"/>
    <n v="6"/>
    <n v="94.5"/>
    <x v="2"/>
    <x v="4"/>
    <n v="1.5"/>
    <n v="9"/>
    <x v="19"/>
    <s v="No"/>
  </r>
  <r>
    <x v="196"/>
    <n v="17"/>
    <x v="0"/>
    <x v="5"/>
    <x v="1"/>
    <x v="167"/>
    <n v="10"/>
    <n v="81.8"/>
    <x v="2"/>
    <x v="0"/>
    <n v="8.1"/>
    <n v="3"/>
    <x v="35"/>
    <s v="No"/>
  </r>
  <r>
    <x v="197"/>
    <n v="24"/>
    <x v="1"/>
    <x v="1"/>
    <x v="1"/>
    <x v="168"/>
    <n v="9"/>
    <n v="84.5"/>
    <x v="2"/>
    <x v="2"/>
    <n v="3.2"/>
    <n v="2"/>
    <x v="21"/>
    <s v="No"/>
  </r>
  <r>
    <x v="198"/>
    <n v="22"/>
    <x v="1"/>
    <x v="7"/>
    <x v="0"/>
    <x v="37"/>
    <n v="4"/>
    <n v="76.7"/>
    <x v="0"/>
    <x v="0"/>
    <n v="0.3"/>
    <n v="7"/>
    <x v="35"/>
    <s v="Yes"/>
  </r>
  <r>
    <x v="199"/>
    <n v="27"/>
    <x v="1"/>
    <x v="0"/>
    <x v="1"/>
    <x v="169"/>
    <n v="9"/>
    <n v="68.599999999999994"/>
    <x v="1"/>
    <x v="4"/>
    <n v="6.7"/>
    <n v="8"/>
    <x v="53"/>
    <s v="No"/>
  </r>
  <r>
    <x v="200"/>
    <n v="25"/>
    <x v="1"/>
    <x v="3"/>
    <x v="1"/>
    <x v="170"/>
    <n v="6"/>
    <n v="75.3"/>
    <x v="1"/>
    <x v="0"/>
    <n v="7"/>
    <n v="1"/>
    <x v="59"/>
    <s v="No"/>
  </r>
  <r>
    <x v="201"/>
    <n v="19"/>
    <x v="1"/>
    <x v="4"/>
    <x v="0"/>
    <x v="171"/>
    <n v="7"/>
    <n v="62.6"/>
    <x v="2"/>
    <x v="4"/>
    <n v="3.1"/>
    <n v="4"/>
    <x v="15"/>
    <s v="No"/>
  </r>
  <r>
    <x v="202"/>
    <n v="22"/>
    <x v="0"/>
    <x v="5"/>
    <x v="2"/>
    <x v="81"/>
    <n v="4"/>
    <n v="71.400000000000006"/>
    <x v="2"/>
    <x v="1"/>
    <n v="8.6999999999999993"/>
    <n v="7"/>
    <x v="14"/>
    <s v="No"/>
  </r>
  <r>
    <x v="203"/>
    <n v="22"/>
    <x v="1"/>
    <x v="4"/>
    <x v="3"/>
    <x v="172"/>
    <n v="3"/>
    <n v="77.8"/>
    <x v="1"/>
    <x v="1"/>
    <n v="0.7"/>
    <n v="4"/>
    <x v="28"/>
    <s v="Yes"/>
  </r>
  <r>
    <x v="204"/>
    <n v="25"/>
    <x v="1"/>
    <x v="4"/>
    <x v="2"/>
    <x v="173"/>
    <n v="5"/>
    <n v="92.1"/>
    <x v="0"/>
    <x v="1"/>
    <n v="8.5"/>
    <n v="6"/>
    <x v="48"/>
    <s v="No"/>
  </r>
  <r>
    <x v="205"/>
    <n v="21"/>
    <x v="0"/>
    <x v="5"/>
    <x v="0"/>
    <x v="89"/>
    <n v="8"/>
    <n v="57.9"/>
    <x v="0"/>
    <x v="4"/>
    <n v="2.7"/>
    <n v="6"/>
    <x v="33"/>
    <s v="Yes"/>
  </r>
  <r>
    <x v="206"/>
    <n v="24"/>
    <x v="1"/>
    <x v="6"/>
    <x v="1"/>
    <x v="174"/>
    <n v="4"/>
    <n v="61.9"/>
    <x v="0"/>
    <x v="1"/>
    <n v="6.5"/>
    <n v="7"/>
    <x v="15"/>
    <s v="Yes"/>
  </r>
  <r>
    <x v="207"/>
    <n v="24"/>
    <x v="1"/>
    <x v="2"/>
    <x v="0"/>
    <x v="175"/>
    <n v="10"/>
    <n v="96.7"/>
    <x v="0"/>
    <x v="0"/>
    <n v="6.6"/>
    <n v="7"/>
    <x v="60"/>
    <s v="Yes"/>
  </r>
  <r>
    <x v="208"/>
    <n v="17"/>
    <x v="1"/>
    <x v="1"/>
    <x v="0"/>
    <x v="176"/>
    <n v="4"/>
    <n v="78.8"/>
    <x v="2"/>
    <x v="1"/>
    <n v="4.9000000000000004"/>
    <n v="4"/>
    <x v="53"/>
    <s v="No"/>
  </r>
  <r>
    <x v="209"/>
    <n v="21"/>
    <x v="1"/>
    <x v="8"/>
    <x v="1"/>
    <x v="106"/>
    <n v="8"/>
    <n v="59.4"/>
    <x v="1"/>
    <x v="3"/>
    <n v="7.1"/>
    <n v="1"/>
    <x v="55"/>
    <s v="Yes"/>
  </r>
  <r>
    <x v="210"/>
    <n v="22"/>
    <x v="0"/>
    <x v="0"/>
    <x v="1"/>
    <x v="177"/>
    <n v="3"/>
    <n v="85"/>
    <x v="1"/>
    <x v="2"/>
    <n v="1.2"/>
    <n v="1"/>
    <x v="50"/>
    <s v="No"/>
  </r>
  <r>
    <x v="211"/>
    <n v="25"/>
    <x v="1"/>
    <x v="6"/>
    <x v="1"/>
    <x v="178"/>
    <n v="9"/>
    <n v="51.4"/>
    <x v="1"/>
    <x v="4"/>
    <n v="3.1"/>
    <n v="4"/>
    <x v="18"/>
    <s v="Yes"/>
  </r>
  <r>
    <x v="212"/>
    <n v="22"/>
    <x v="1"/>
    <x v="1"/>
    <x v="0"/>
    <x v="179"/>
    <n v="9"/>
    <n v="54.7"/>
    <x v="1"/>
    <x v="2"/>
    <n v="0.9"/>
    <n v="6"/>
    <x v="11"/>
    <s v="Yes"/>
  </r>
  <r>
    <x v="213"/>
    <n v="21"/>
    <x v="1"/>
    <x v="6"/>
    <x v="0"/>
    <x v="180"/>
    <n v="9"/>
    <n v="77.599999999999994"/>
    <x v="1"/>
    <x v="3"/>
    <n v="5.6"/>
    <n v="9"/>
    <x v="13"/>
    <s v="No"/>
  </r>
  <r>
    <x v="214"/>
    <n v="21"/>
    <x v="0"/>
    <x v="2"/>
    <x v="0"/>
    <x v="181"/>
    <n v="6"/>
    <n v="51.4"/>
    <x v="1"/>
    <x v="1"/>
    <n v="6.5"/>
    <n v="1"/>
    <x v="61"/>
    <s v="Yes"/>
  </r>
  <r>
    <x v="215"/>
    <n v="18"/>
    <x v="1"/>
    <x v="5"/>
    <x v="2"/>
    <x v="182"/>
    <n v="10"/>
    <n v="70.400000000000006"/>
    <x v="2"/>
    <x v="3"/>
    <n v="8.6999999999999993"/>
    <n v="8"/>
    <x v="11"/>
    <s v="No"/>
  </r>
  <r>
    <x v="216"/>
    <n v="17"/>
    <x v="0"/>
    <x v="6"/>
    <x v="0"/>
    <x v="183"/>
    <n v="8"/>
    <n v="57.4"/>
    <x v="1"/>
    <x v="0"/>
    <n v="7.4"/>
    <n v="8"/>
    <x v="1"/>
    <s v="No"/>
  </r>
  <r>
    <x v="217"/>
    <n v="25"/>
    <x v="0"/>
    <x v="2"/>
    <x v="0"/>
    <x v="98"/>
    <n v="7"/>
    <n v="77.5"/>
    <x v="1"/>
    <x v="4"/>
    <n v="6.7"/>
    <n v="1"/>
    <x v="58"/>
    <s v="Yes"/>
  </r>
  <r>
    <x v="218"/>
    <n v="20"/>
    <x v="1"/>
    <x v="1"/>
    <x v="0"/>
    <x v="184"/>
    <n v="5"/>
    <n v="79.599999999999994"/>
    <x v="0"/>
    <x v="4"/>
    <n v="2.1"/>
    <n v="9"/>
    <x v="42"/>
    <s v="No"/>
  </r>
  <r>
    <x v="219"/>
    <n v="21"/>
    <x v="1"/>
    <x v="7"/>
    <x v="2"/>
    <x v="185"/>
    <n v="2"/>
    <n v="73.8"/>
    <x v="0"/>
    <x v="3"/>
    <n v="1.5"/>
    <n v="3"/>
    <x v="27"/>
    <s v="No"/>
  </r>
  <r>
    <x v="220"/>
    <n v="18"/>
    <x v="0"/>
    <x v="6"/>
    <x v="0"/>
    <x v="186"/>
    <n v="4"/>
    <n v="82.9"/>
    <x v="1"/>
    <x v="3"/>
    <n v="0.3"/>
    <n v="10"/>
    <x v="35"/>
    <s v="No"/>
  </r>
  <r>
    <x v="221"/>
    <n v="27"/>
    <x v="1"/>
    <x v="3"/>
    <x v="0"/>
    <x v="187"/>
    <n v="8"/>
    <n v="68.900000000000006"/>
    <x v="1"/>
    <x v="1"/>
    <n v="2.2999999999999998"/>
    <n v="7"/>
    <x v="3"/>
    <s v="Yes"/>
  </r>
  <r>
    <x v="222"/>
    <n v="25"/>
    <x v="1"/>
    <x v="1"/>
    <x v="1"/>
    <x v="188"/>
    <n v="9"/>
    <n v="75.099999999999994"/>
    <x v="1"/>
    <x v="0"/>
    <n v="3.2"/>
    <n v="2"/>
    <x v="53"/>
    <s v="No"/>
  </r>
  <r>
    <x v="223"/>
    <n v="17"/>
    <x v="0"/>
    <x v="2"/>
    <x v="1"/>
    <x v="167"/>
    <n v="9"/>
    <n v="60.8"/>
    <x v="1"/>
    <x v="1"/>
    <n v="4.7"/>
    <n v="5"/>
    <x v="50"/>
    <s v="No"/>
  </r>
  <r>
    <x v="224"/>
    <n v="27"/>
    <x v="0"/>
    <x v="7"/>
    <x v="0"/>
    <x v="189"/>
    <n v="8"/>
    <n v="75.2"/>
    <x v="1"/>
    <x v="0"/>
    <n v="3"/>
    <n v="2"/>
    <x v="62"/>
    <s v="Yes"/>
  </r>
  <r>
    <x v="225"/>
    <n v="27"/>
    <x v="0"/>
    <x v="3"/>
    <x v="1"/>
    <x v="104"/>
    <n v="7"/>
    <n v="86.7"/>
    <x v="2"/>
    <x v="3"/>
    <n v="3.3"/>
    <n v="7"/>
    <x v="45"/>
    <s v="Yes"/>
  </r>
  <r>
    <x v="226"/>
    <n v="27"/>
    <x v="0"/>
    <x v="1"/>
    <x v="1"/>
    <x v="163"/>
    <n v="8"/>
    <n v="85.5"/>
    <x v="1"/>
    <x v="2"/>
    <n v="3.1"/>
    <n v="9"/>
    <x v="2"/>
    <s v="Yes"/>
  </r>
  <r>
    <x v="227"/>
    <n v="17"/>
    <x v="1"/>
    <x v="1"/>
    <x v="1"/>
    <x v="190"/>
    <n v="2"/>
    <n v="51.5"/>
    <x v="2"/>
    <x v="3"/>
    <n v="5.2"/>
    <n v="1"/>
    <x v="5"/>
    <s v="No"/>
  </r>
  <r>
    <x v="228"/>
    <n v="19"/>
    <x v="0"/>
    <x v="3"/>
    <x v="0"/>
    <x v="191"/>
    <n v="10"/>
    <n v="66.400000000000006"/>
    <x v="1"/>
    <x v="0"/>
    <n v="4.9000000000000004"/>
    <n v="4"/>
    <x v="9"/>
    <s v="Yes"/>
  </r>
  <r>
    <x v="229"/>
    <n v="24"/>
    <x v="1"/>
    <x v="3"/>
    <x v="0"/>
    <x v="16"/>
    <n v="9"/>
    <n v="74.7"/>
    <x v="2"/>
    <x v="1"/>
    <n v="6.3"/>
    <n v="10"/>
    <x v="38"/>
    <s v="No"/>
  </r>
  <r>
    <x v="230"/>
    <n v="24"/>
    <x v="0"/>
    <x v="5"/>
    <x v="2"/>
    <x v="192"/>
    <n v="9"/>
    <n v="67.099999999999994"/>
    <x v="1"/>
    <x v="0"/>
    <n v="3.9"/>
    <n v="3"/>
    <x v="25"/>
    <s v="Yes"/>
  </r>
  <r>
    <x v="231"/>
    <n v="19"/>
    <x v="1"/>
    <x v="2"/>
    <x v="0"/>
    <x v="67"/>
    <n v="8"/>
    <n v="84.9"/>
    <x v="0"/>
    <x v="3"/>
    <n v="4.8"/>
    <n v="7"/>
    <x v="4"/>
    <s v="No"/>
  </r>
  <r>
    <x v="232"/>
    <n v="22"/>
    <x v="0"/>
    <x v="0"/>
    <x v="2"/>
    <x v="193"/>
    <n v="5"/>
    <n v="57.8"/>
    <x v="2"/>
    <x v="2"/>
    <n v="0.3"/>
    <n v="8"/>
    <x v="37"/>
    <s v="Yes"/>
  </r>
  <r>
    <x v="233"/>
    <n v="19"/>
    <x v="0"/>
    <x v="6"/>
    <x v="0"/>
    <x v="194"/>
    <n v="6"/>
    <n v="66"/>
    <x v="0"/>
    <x v="3"/>
    <n v="8"/>
    <n v="6"/>
    <x v="61"/>
    <s v="No"/>
  </r>
  <r>
    <x v="234"/>
    <n v="27"/>
    <x v="0"/>
    <x v="2"/>
    <x v="0"/>
    <x v="195"/>
    <n v="2"/>
    <n v="91.6"/>
    <x v="2"/>
    <x v="2"/>
    <n v="4.3"/>
    <n v="2"/>
    <x v="62"/>
    <s v="Yes"/>
  </r>
  <r>
    <x v="235"/>
    <n v="25"/>
    <x v="1"/>
    <x v="1"/>
    <x v="1"/>
    <x v="196"/>
    <n v="8"/>
    <n v="59.1"/>
    <x v="0"/>
    <x v="0"/>
    <n v="3"/>
    <n v="2"/>
    <x v="26"/>
    <s v="No"/>
  </r>
  <r>
    <x v="236"/>
    <n v="17"/>
    <x v="1"/>
    <x v="7"/>
    <x v="0"/>
    <x v="17"/>
    <n v="6"/>
    <n v="50.1"/>
    <x v="0"/>
    <x v="4"/>
    <n v="3.4"/>
    <n v="10"/>
    <x v="2"/>
    <s v="Yes"/>
  </r>
  <r>
    <x v="237"/>
    <n v="17"/>
    <x v="0"/>
    <x v="0"/>
    <x v="2"/>
    <x v="197"/>
    <n v="6"/>
    <n v="81"/>
    <x v="1"/>
    <x v="4"/>
    <n v="3"/>
    <n v="8"/>
    <x v="25"/>
    <s v="No"/>
  </r>
  <r>
    <x v="238"/>
    <n v="26"/>
    <x v="1"/>
    <x v="6"/>
    <x v="0"/>
    <x v="198"/>
    <n v="6"/>
    <n v="84.4"/>
    <x v="0"/>
    <x v="3"/>
    <n v="0.3"/>
    <n v="1"/>
    <x v="9"/>
    <s v="Yes"/>
  </r>
  <r>
    <x v="239"/>
    <n v="26"/>
    <x v="0"/>
    <x v="6"/>
    <x v="0"/>
    <x v="169"/>
    <n v="3"/>
    <n v="68.3"/>
    <x v="0"/>
    <x v="1"/>
    <n v="3"/>
    <n v="2"/>
    <x v="41"/>
    <s v="No"/>
  </r>
  <r>
    <x v="240"/>
    <n v="23"/>
    <x v="1"/>
    <x v="7"/>
    <x v="1"/>
    <x v="199"/>
    <n v="4"/>
    <n v="89.1"/>
    <x v="1"/>
    <x v="4"/>
    <n v="1.6"/>
    <n v="2"/>
    <x v="17"/>
    <s v="No"/>
  </r>
  <r>
    <x v="241"/>
    <n v="18"/>
    <x v="0"/>
    <x v="2"/>
    <x v="1"/>
    <x v="200"/>
    <n v="8"/>
    <n v="78.8"/>
    <x v="2"/>
    <x v="1"/>
    <n v="9"/>
    <n v="2"/>
    <x v="53"/>
    <s v="Yes"/>
  </r>
  <r>
    <x v="242"/>
    <n v="19"/>
    <x v="0"/>
    <x v="5"/>
    <x v="2"/>
    <x v="201"/>
    <n v="2"/>
    <n v="93.2"/>
    <x v="2"/>
    <x v="2"/>
    <n v="1.8"/>
    <n v="5"/>
    <x v="49"/>
    <s v="Yes"/>
  </r>
  <r>
    <x v="243"/>
    <n v="27"/>
    <x v="1"/>
    <x v="8"/>
    <x v="0"/>
    <x v="111"/>
    <n v="4"/>
    <n v="87.8"/>
    <x v="2"/>
    <x v="3"/>
    <n v="1.2"/>
    <n v="7"/>
    <x v="4"/>
    <s v="No"/>
  </r>
  <r>
    <x v="244"/>
    <n v="20"/>
    <x v="1"/>
    <x v="5"/>
    <x v="2"/>
    <x v="202"/>
    <n v="6"/>
    <n v="50.3"/>
    <x v="1"/>
    <x v="1"/>
    <n v="6.9"/>
    <n v="2"/>
    <x v="38"/>
    <s v="No"/>
  </r>
  <r>
    <x v="245"/>
    <n v="25"/>
    <x v="1"/>
    <x v="7"/>
    <x v="2"/>
    <x v="203"/>
    <n v="9"/>
    <n v="88.8"/>
    <x v="2"/>
    <x v="3"/>
    <n v="4"/>
    <n v="7"/>
    <x v="19"/>
    <s v="No"/>
  </r>
  <r>
    <x v="246"/>
    <n v="17"/>
    <x v="1"/>
    <x v="2"/>
    <x v="1"/>
    <x v="204"/>
    <n v="4"/>
    <n v="82.8"/>
    <x v="1"/>
    <x v="3"/>
    <n v="3.1"/>
    <n v="4"/>
    <x v="50"/>
    <s v="No"/>
  </r>
  <r>
    <x v="247"/>
    <n v="19"/>
    <x v="0"/>
    <x v="1"/>
    <x v="0"/>
    <x v="205"/>
    <n v="4"/>
    <n v="93"/>
    <x v="0"/>
    <x v="2"/>
    <n v="3.6"/>
    <n v="5"/>
    <x v="25"/>
    <s v="Yes"/>
  </r>
  <r>
    <x v="248"/>
    <n v="22"/>
    <x v="1"/>
    <x v="2"/>
    <x v="1"/>
    <x v="206"/>
    <n v="10"/>
    <n v="52.2"/>
    <x v="1"/>
    <x v="3"/>
    <n v="6"/>
    <n v="8"/>
    <x v="47"/>
    <s v="Yes"/>
  </r>
  <r>
    <x v="249"/>
    <n v="23"/>
    <x v="1"/>
    <x v="0"/>
    <x v="0"/>
    <x v="207"/>
    <n v="10"/>
    <n v="80.599999999999994"/>
    <x v="2"/>
    <x v="3"/>
    <n v="0.7"/>
    <n v="4"/>
    <x v="45"/>
    <s v="No"/>
  </r>
  <r>
    <x v="250"/>
    <n v="24"/>
    <x v="0"/>
    <x v="8"/>
    <x v="0"/>
    <x v="208"/>
    <n v="4"/>
    <n v="54.1"/>
    <x v="1"/>
    <x v="4"/>
    <n v="5"/>
    <n v="4"/>
    <x v="31"/>
    <s v="No"/>
  </r>
  <r>
    <x v="251"/>
    <n v="26"/>
    <x v="1"/>
    <x v="3"/>
    <x v="1"/>
    <x v="87"/>
    <n v="10"/>
    <n v="97.9"/>
    <x v="2"/>
    <x v="3"/>
    <n v="8.1"/>
    <n v="3"/>
    <x v="0"/>
    <s v="No"/>
  </r>
  <r>
    <x v="252"/>
    <n v="27"/>
    <x v="0"/>
    <x v="6"/>
    <x v="0"/>
    <x v="209"/>
    <n v="5"/>
    <n v="86.2"/>
    <x v="2"/>
    <x v="0"/>
    <n v="2"/>
    <n v="5"/>
    <x v="2"/>
    <s v="No"/>
  </r>
  <r>
    <x v="253"/>
    <n v="24"/>
    <x v="0"/>
    <x v="1"/>
    <x v="1"/>
    <x v="210"/>
    <n v="2"/>
    <n v="82.9"/>
    <x v="0"/>
    <x v="3"/>
    <n v="1.1000000000000001"/>
    <n v="8"/>
    <x v="63"/>
    <s v="No"/>
  </r>
  <r>
    <x v="254"/>
    <n v="23"/>
    <x v="0"/>
    <x v="3"/>
    <x v="1"/>
    <x v="211"/>
    <n v="4"/>
    <n v="50.7"/>
    <x v="2"/>
    <x v="1"/>
    <n v="8.3000000000000007"/>
    <n v="10"/>
    <x v="64"/>
    <s v="Yes"/>
  </r>
  <r>
    <x v="255"/>
    <n v="26"/>
    <x v="0"/>
    <x v="2"/>
    <x v="0"/>
    <x v="212"/>
    <n v="9"/>
    <n v="84.8"/>
    <x v="1"/>
    <x v="3"/>
    <n v="0.7"/>
    <n v="1"/>
    <x v="53"/>
    <s v="No"/>
  </r>
  <r>
    <x v="256"/>
    <n v="22"/>
    <x v="0"/>
    <x v="5"/>
    <x v="1"/>
    <x v="172"/>
    <n v="4"/>
    <n v="82"/>
    <x v="0"/>
    <x v="3"/>
    <n v="6.4"/>
    <n v="3"/>
    <x v="38"/>
    <s v="Yes"/>
  </r>
  <r>
    <x v="257"/>
    <n v="20"/>
    <x v="0"/>
    <x v="3"/>
    <x v="1"/>
    <x v="103"/>
    <n v="9"/>
    <n v="93.6"/>
    <x v="0"/>
    <x v="4"/>
    <n v="7.5"/>
    <n v="3"/>
    <x v="64"/>
    <s v="Yes"/>
  </r>
  <r>
    <x v="258"/>
    <n v="26"/>
    <x v="0"/>
    <x v="7"/>
    <x v="1"/>
    <x v="213"/>
    <n v="3"/>
    <n v="81.900000000000006"/>
    <x v="1"/>
    <x v="2"/>
    <n v="0.1"/>
    <n v="3"/>
    <x v="43"/>
    <s v="Yes"/>
  </r>
  <r>
    <x v="259"/>
    <n v="22"/>
    <x v="1"/>
    <x v="7"/>
    <x v="0"/>
    <x v="214"/>
    <n v="2"/>
    <n v="74.400000000000006"/>
    <x v="2"/>
    <x v="1"/>
    <n v="6.2"/>
    <n v="2"/>
    <x v="28"/>
    <s v="No"/>
  </r>
  <r>
    <x v="260"/>
    <n v="23"/>
    <x v="0"/>
    <x v="8"/>
    <x v="2"/>
    <x v="215"/>
    <n v="8"/>
    <n v="91.9"/>
    <x v="1"/>
    <x v="4"/>
    <n v="4.2"/>
    <n v="3"/>
    <x v="52"/>
    <s v="Yes"/>
  </r>
  <r>
    <x v="261"/>
    <n v="23"/>
    <x v="1"/>
    <x v="0"/>
    <x v="0"/>
    <x v="137"/>
    <n v="6"/>
    <n v="72.2"/>
    <x v="0"/>
    <x v="4"/>
    <n v="4.8"/>
    <n v="7"/>
    <x v="33"/>
    <s v="No"/>
  </r>
  <r>
    <x v="262"/>
    <n v="22"/>
    <x v="0"/>
    <x v="6"/>
    <x v="1"/>
    <x v="148"/>
    <n v="6"/>
    <n v="67.599999999999994"/>
    <x v="1"/>
    <x v="2"/>
    <n v="9"/>
    <n v="2"/>
    <x v="52"/>
    <s v="Yes"/>
  </r>
  <r>
    <x v="263"/>
    <n v="24"/>
    <x v="1"/>
    <x v="8"/>
    <x v="0"/>
    <x v="203"/>
    <n v="8"/>
    <n v="65.8"/>
    <x v="1"/>
    <x v="4"/>
    <n v="5.9"/>
    <n v="6"/>
    <x v="32"/>
    <s v="Yes"/>
  </r>
  <r>
    <x v="264"/>
    <n v="19"/>
    <x v="1"/>
    <x v="0"/>
    <x v="2"/>
    <x v="216"/>
    <n v="3"/>
    <n v="57"/>
    <x v="1"/>
    <x v="2"/>
    <n v="4.2"/>
    <n v="7"/>
    <x v="46"/>
    <s v="No"/>
  </r>
  <r>
    <x v="265"/>
    <n v="18"/>
    <x v="1"/>
    <x v="7"/>
    <x v="2"/>
    <x v="213"/>
    <n v="7"/>
    <n v="58.7"/>
    <x v="0"/>
    <x v="3"/>
    <n v="0.9"/>
    <n v="6"/>
    <x v="5"/>
    <s v="Yes"/>
  </r>
  <r>
    <x v="266"/>
    <n v="20"/>
    <x v="0"/>
    <x v="6"/>
    <x v="2"/>
    <x v="217"/>
    <n v="7"/>
    <n v="74.7"/>
    <x v="2"/>
    <x v="4"/>
    <n v="2.1"/>
    <n v="8"/>
    <x v="2"/>
    <s v="Yes"/>
  </r>
  <r>
    <x v="267"/>
    <n v="23"/>
    <x v="1"/>
    <x v="5"/>
    <x v="2"/>
    <x v="218"/>
    <n v="9"/>
    <n v="55.2"/>
    <x v="0"/>
    <x v="3"/>
    <n v="1"/>
    <n v="9"/>
    <x v="42"/>
    <s v="No"/>
  </r>
  <r>
    <x v="268"/>
    <n v="17"/>
    <x v="0"/>
    <x v="8"/>
    <x v="1"/>
    <x v="219"/>
    <n v="9"/>
    <n v="86.6"/>
    <x v="1"/>
    <x v="1"/>
    <n v="5.0999999999999996"/>
    <n v="10"/>
    <x v="2"/>
    <s v="Yes"/>
  </r>
  <r>
    <x v="269"/>
    <n v="23"/>
    <x v="0"/>
    <x v="0"/>
    <x v="2"/>
    <x v="33"/>
    <n v="3"/>
    <n v="73.8"/>
    <x v="1"/>
    <x v="3"/>
    <n v="2.2000000000000002"/>
    <n v="10"/>
    <x v="21"/>
    <s v="No"/>
  </r>
  <r>
    <x v="270"/>
    <n v="21"/>
    <x v="0"/>
    <x v="3"/>
    <x v="1"/>
    <x v="220"/>
    <n v="4"/>
    <n v="85.5"/>
    <x v="0"/>
    <x v="3"/>
    <n v="0.3"/>
    <n v="9"/>
    <x v="56"/>
    <s v="No"/>
  </r>
  <r>
    <x v="271"/>
    <n v="19"/>
    <x v="1"/>
    <x v="2"/>
    <x v="1"/>
    <x v="221"/>
    <n v="5"/>
    <n v="61.9"/>
    <x v="0"/>
    <x v="2"/>
    <n v="4.5999999999999996"/>
    <n v="3"/>
    <x v="30"/>
    <s v="Yes"/>
  </r>
  <r>
    <x v="272"/>
    <n v="27"/>
    <x v="1"/>
    <x v="1"/>
    <x v="0"/>
    <x v="222"/>
    <n v="5"/>
    <n v="88.7"/>
    <x v="1"/>
    <x v="4"/>
    <n v="8.1"/>
    <n v="10"/>
    <x v="15"/>
    <s v="No"/>
  </r>
  <r>
    <x v="273"/>
    <n v="18"/>
    <x v="1"/>
    <x v="1"/>
    <x v="0"/>
    <x v="223"/>
    <n v="10"/>
    <n v="90.2"/>
    <x v="0"/>
    <x v="4"/>
    <n v="2.1"/>
    <n v="5"/>
    <x v="25"/>
    <s v="Yes"/>
  </r>
  <r>
    <x v="274"/>
    <n v="18"/>
    <x v="0"/>
    <x v="2"/>
    <x v="0"/>
    <x v="224"/>
    <n v="3"/>
    <n v="80.599999999999994"/>
    <x v="0"/>
    <x v="2"/>
    <n v="2.6"/>
    <n v="7"/>
    <x v="59"/>
    <s v="No"/>
  </r>
  <r>
    <x v="275"/>
    <n v="17"/>
    <x v="1"/>
    <x v="5"/>
    <x v="2"/>
    <x v="64"/>
    <n v="7"/>
    <n v="58"/>
    <x v="2"/>
    <x v="2"/>
    <n v="8.3000000000000007"/>
    <n v="4"/>
    <x v="50"/>
    <s v="Yes"/>
  </r>
  <r>
    <x v="276"/>
    <n v="26"/>
    <x v="0"/>
    <x v="5"/>
    <x v="1"/>
    <x v="176"/>
    <n v="9"/>
    <n v="53.3"/>
    <x v="1"/>
    <x v="1"/>
    <n v="2.4"/>
    <n v="9"/>
    <x v="41"/>
    <s v="Yes"/>
  </r>
  <r>
    <x v="277"/>
    <n v="19"/>
    <x v="1"/>
    <x v="8"/>
    <x v="2"/>
    <x v="5"/>
    <n v="5"/>
    <n v="65.7"/>
    <x v="2"/>
    <x v="2"/>
    <n v="6.5"/>
    <n v="6"/>
    <x v="60"/>
    <s v="Yes"/>
  </r>
  <r>
    <x v="278"/>
    <n v="24"/>
    <x v="0"/>
    <x v="2"/>
    <x v="1"/>
    <x v="218"/>
    <n v="7"/>
    <n v="87.4"/>
    <x v="0"/>
    <x v="2"/>
    <n v="8"/>
    <n v="3"/>
    <x v="8"/>
    <s v="No"/>
  </r>
  <r>
    <x v="279"/>
    <n v="26"/>
    <x v="1"/>
    <x v="4"/>
    <x v="0"/>
    <x v="225"/>
    <n v="5"/>
    <n v="63"/>
    <x v="2"/>
    <x v="0"/>
    <n v="0.2"/>
    <n v="6"/>
    <x v="37"/>
    <s v="No"/>
  </r>
  <r>
    <x v="280"/>
    <n v="21"/>
    <x v="0"/>
    <x v="6"/>
    <x v="2"/>
    <x v="140"/>
    <n v="7"/>
    <n v="90.4"/>
    <x v="2"/>
    <x v="2"/>
    <n v="7.8"/>
    <n v="4"/>
    <x v="18"/>
    <s v="No"/>
  </r>
  <r>
    <x v="281"/>
    <n v="26"/>
    <x v="1"/>
    <x v="4"/>
    <x v="1"/>
    <x v="22"/>
    <n v="5"/>
    <n v="65.8"/>
    <x v="0"/>
    <x v="3"/>
    <n v="0.4"/>
    <n v="1"/>
    <x v="39"/>
    <s v="Yes"/>
  </r>
  <r>
    <x v="282"/>
    <n v="22"/>
    <x v="0"/>
    <x v="1"/>
    <x v="0"/>
    <x v="226"/>
    <n v="3"/>
    <n v="58.8"/>
    <x v="1"/>
    <x v="1"/>
    <n v="3.7"/>
    <n v="4"/>
    <x v="36"/>
    <s v="Yes"/>
  </r>
  <r>
    <x v="283"/>
    <n v="18"/>
    <x v="0"/>
    <x v="8"/>
    <x v="0"/>
    <x v="227"/>
    <n v="4"/>
    <n v="73.099999999999994"/>
    <x v="1"/>
    <x v="2"/>
    <n v="1.8"/>
    <n v="4"/>
    <x v="38"/>
    <s v="No"/>
  </r>
  <r>
    <x v="284"/>
    <n v="17"/>
    <x v="1"/>
    <x v="1"/>
    <x v="0"/>
    <x v="228"/>
    <n v="2"/>
    <n v="83.9"/>
    <x v="1"/>
    <x v="0"/>
    <n v="3.8"/>
    <n v="9"/>
    <x v="37"/>
    <s v="Yes"/>
  </r>
  <r>
    <x v="285"/>
    <n v="20"/>
    <x v="1"/>
    <x v="6"/>
    <x v="2"/>
    <x v="229"/>
    <n v="5"/>
    <n v="96"/>
    <x v="1"/>
    <x v="3"/>
    <n v="3.7"/>
    <n v="4"/>
    <x v="49"/>
    <s v="Yes"/>
  </r>
  <r>
    <x v="286"/>
    <n v="19"/>
    <x v="0"/>
    <x v="0"/>
    <x v="0"/>
    <x v="230"/>
    <n v="5"/>
    <n v="58.5"/>
    <x v="2"/>
    <x v="0"/>
    <n v="6.8"/>
    <n v="3"/>
    <x v="58"/>
    <s v="No"/>
  </r>
  <r>
    <x v="287"/>
    <n v="18"/>
    <x v="1"/>
    <x v="4"/>
    <x v="0"/>
    <x v="231"/>
    <n v="10"/>
    <n v="81.7"/>
    <x v="0"/>
    <x v="0"/>
    <n v="8"/>
    <n v="8"/>
    <x v="23"/>
    <s v="Yes"/>
  </r>
  <r>
    <x v="288"/>
    <n v="27"/>
    <x v="1"/>
    <x v="3"/>
    <x v="0"/>
    <x v="232"/>
    <n v="2"/>
    <n v="54.6"/>
    <x v="1"/>
    <x v="4"/>
    <n v="4.2"/>
    <n v="7"/>
    <x v="39"/>
    <s v="No"/>
  </r>
  <r>
    <x v="289"/>
    <n v="23"/>
    <x v="1"/>
    <x v="0"/>
    <x v="0"/>
    <x v="53"/>
    <n v="2"/>
    <n v="67.400000000000006"/>
    <x v="1"/>
    <x v="2"/>
    <n v="5.9"/>
    <n v="5"/>
    <x v="17"/>
    <s v="Yes"/>
  </r>
  <r>
    <x v="290"/>
    <n v="18"/>
    <x v="1"/>
    <x v="7"/>
    <x v="2"/>
    <x v="194"/>
    <n v="6"/>
    <n v="65"/>
    <x v="1"/>
    <x v="3"/>
    <n v="5.2"/>
    <n v="9"/>
    <x v="34"/>
    <s v="No"/>
  </r>
  <r>
    <x v="291"/>
    <n v="20"/>
    <x v="1"/>
    <x v="0"/>
    <x v="0"/>
    <x v="233"/>
    <n v="2"/>
    <n v="77.5"/>
    <x v="2"/>
    <x v="3"/>
    <n v="4.5"/>
    <n v="10"/>
    <x v="35"/>
    <s v="No"/>
  </r>
  <r>
    <x v="292"/>
    <n v="24"/>
    <x v="1"/>
    <x v="2"/>
    <x v="1"/>
    <x v="46"/>
    <n v="4"/>
    <n v="79.099999999999994"/>
    <x v="1"/>
    <x v="3"/>
    <n v="7"/>
    <n v="8"/>
    <x v="41"/>
    <s v="No"/>
  </r>
  <r>
    <x v="293"/>
    <n v="23"/>
    <x v="1"/>
    <x v="3"/>
    <x v="0"/>
    <x v="83"/>
    <n v="8"/>
    <n v="72.8"/>
    <x v="2"/>
    <x v="3"/>
    <n v="1.5"/>
    <n v="2"/>
    <x v="43"/>
    <s v="Yes"/>
  </r>
  <r>
    <x v="294"/>
    <n v="25"/>
    <x v="0"/>
    <x v="6"/>
    <x v="1"/>
    <x v="234"/>
    <n v="4"/>
    <n v="75.7"/>
    <x v="1"/>
    <x v="4"/>
    <n v="2.2999999999999998"/>
    <n v="6"/>
    <x v="39"/>
    <s v="Yes"/>
  </r>
  <r>
    <x v="295"/>
    <n v="20"/>
    <x v="1"/>
    <x v="1"/>
    <x v="1"/>
    <x v="235"/>
    <n v="10"/>
    <n v="95.5"/>
    <x v="2"/>
    <x v="0"/>
    <n v="5.8"/>
    <n v="6"/>
    <x v="53"/>
    <s v="Yes"/>
  </r>
  <r>
    <x v="296"/>
    <n v="21"/>
    <x v="0"/>
    <x v="3"/>
    <x v="1"/>
    <x v="233"/>
    <n v="4"/>
    <n v="78.2"/>
    <x v="0"/>
    <x v="4"/>
    <n v="6.4"/>
    <n v="5"/>
    <x v="7"/>
    <s v="No"/>
  </r>
  <r>
    <x v="297"/>
    <n v="21"/>
    <x v="0"/>
    <x v="5"/>
    <x v="2"/>
    <x v="236"/>
    <n v="7"/>
    <n v="90.8"/>
    <x v="0"/>
    <x v="1"/>
    <n v="5.9"/>
    <n v="1"/>
    <x v="44"/>
    <s v="No"/>
  </r>
  <r>
    <x v="298"/>
    <n v="27"/>
    <x v="1"/>
    <x v="2"/>
    <x v="0"/>
    <x v="237"/>
    <n v="2"/>
    <n v="65.8"/>
    <x v="1"/>
    <x v="4"/>
    <n v="6"/>
    <n v="9"/>
    <x v="46"/>
    <s v="Yes"/>
  </r>
  <r>
    <x v="299"/>
    <n v="17"/>
    <x v="0"/>
    <x v="6"/>
    <x v="2"/>
    <x v="238"/>
    <n v="5"/>
    <n v="60.9"/>
    <x v="1"/>
    <x v="1"/>
    <n v="6"/>
    <n v="8"/>
    <x v="12"/>
    <s v="Yes"/>
  </r>
  <r>
    <x v="300"/>
    <n v="18"/>
    <x v="1"/>
    <x v="1"/>
    <x v="0"/>
    <x v="239"/>
    <n v="7"/>
    <n v="58.5"/>
    <x v="2"/>
    <x v="3"/>
    <n v="5.3"/>
    <n v="7"/>
    <x v="49"/>
    <s v="No"/>
  </r>
  <r>
    <x v="301"/>
    <n v="26"/>
    <x v="0"/>
    <x v="5"/>
    <x v="2"/>
    <x v="203"/>
    <n v="3"/>
    <n v="99"/>
    <x v="0"/>
    <x v="4"/>
    <n v="3.9"/>
    <n v="6"/>
    <x v="59"/>
    <s v="Yes"/>
  </r>
  <r>
    <x v="302"/>
    <n v="26"/>
    <x v="1"/>
    <x v="1"/>
    <x v="0"/>
    <x v="68"/>
    <n v="8"/>
    <n v="76.900000000000006"/>
    <x v="0"/>
    <x v="3"/>
    <n v="2"/>
    <n v="1"/>
    <x v="6"/>
    <s v="No"/>
  </r>
  <r>
    <x v="303"/>
    <n v="23"/>
    <x v="1"/>
    <x v="7"/>
    <x v="2"/>
    <x v="240"/>
    <n v="3"/>
    <n v="99.3"/>
    <x v="0"/>
    <x v="2"/>
    <n v="7.5"/>
    <n v="9"/>
    <x v="32"/>
    <s v="No"/>
  </r>
  <r>
    <x v="304"/>
    <n v="27"/>
    <x v="0"/>
    <x v="3"/>
    <x v="1"/>
    <x v="107"/>
    <n v="9"/>
    <n v="61.2"/>
    <x v="0"/>
    <x v="2"/>
    <n v="5.7"/>
    <n v="6"/>
    <x v="2"/>
    <s v="Yes"/>
  </r>
  <r>
    <x v="305"/>
    <n v="17"/>
    <x v="1"/>
    <x v="0"/>
    <x v="1"/>
    <x v="241"/>
    <n v="7"/>
    <n v="78.5"/>
    <x v="0"/>
    <x v="2"/>
    <n v="3.5"/>
    <n v="9"/>
    <x v="48"/>
    <s v="No"/>
  </r>
  <r>
    <x v="306"/>
    <n v="25"/>
    <x v="0"/>
    <x v="2"/>
    <x v="1"/>
    <x v="227"/>
    <n v="9"/>
    <n v="86.6"/>
    <x v="0"/>
    <x v="1"/>
    <n v="0.2"/>
    <n v="2"/>
    <x v="7"/>
    <s v="No"/>
  </r>
  <r>
    <x v="307"/>
    <n v="19"/>
    <x v="0"/>
    <x v="0"/>
    <x v="2"/>
    <x v="242"/>
    <n v="10"/>
    <n v="59.4"/>
    <x v="1"/>
    <x v="0"/>
    <n v="5.6"/>
    <n v="8"/>
    <x v="28"/>
    <s v="No"/>
  </r>
  <r>
    <x v="308"/>
    <n v="25"/>
    <x v="1"/>
    <x v="7"/>
    <x v="0"/>
    <x v="125"/>
    <n v="4"/>
    <n v="89.5"/>
    <x v="1"/>
    <x v="2"/>
    <n v="0.1"/>
    <n v="1"/>
    <x v="0"/>
    <s v="No"/>
  </r>
  <r>
    <x v="309"/>
    <n v="27"/>
    <x v="0"/>
    <x v="6"/>
    <x v="0"/>
    <x v="201"/>
    <n v="5"/>
    <n v="84"/>
    <x v="0"/>
    <x v="0"/>
    <n v="2.2999999999999998"/>
    <n v="10"/>
    <x v="56"/>
    <s v="No"/>
  </r>
  <r>
    <x v="310"/>
    <n v="21"/>
    <x v="0"/>
    <x v="6"/>
    <x v="2"/>
    <x v="204"/>
    <n v="3"/>
    <n v="84.3"/>
    <x v="2"/>
    <x v="2"/>
    <n v="5.3"/>
    <n v="5"/>
    <x v="26"/>
    <s v="Yes"/>
  </r>
  <r>
    <x v="311"/>
    <n v="25"/>
    <x v="0"/>
    <x v="1"/>
    <x v="0"/>
    <x v="243"/>
    <n v="9"/>
    <n v="95.5"/>
    <x v="0"/>
    <x v="2"/>
    <n v="0.9"/>
    <n v="6"/>
    <x v="52"/>
    <s v="No"/>
  </r>
  <r>
    <x v="312"/>
    <n v="27"/>
    <x v="0"/>
    <x v="2"/>
    <x v="0"/>
    <x v="126"/>
    <n v="2"/>
    <n v="64.3"/>
    <x v="0"/>
    <x v="1"/>
    <n v="0.3"/>
    <n v="6"/>
    <x v="44"/>
    <s v="No"/>
  </r>
  <r>
    <x v="313"/>
    <n v="18"/>
    <x v="0"/>
    <x v="3"/>
    <x v="1"/>
    <x v="203"/>
    <n v="7"/>
    <n v="75.3"/>
    <x v="2"/>
    <x v="4"/>
    <n v="1.7"/>
    <n v="10"/>
    <x v="36"/>
    <s v="No"/>
  </r>
  <r>
    <x v="314"/>
    <n v="27"/>
    <x v="1"/>
    <x v="5"/>
    <x v="0"/>
    <x v="227"/>
    <n v="9"/>
    <n v="70.900000000000006"/>
    <x v="0"/>
    <x v="4"/>
    <n v="7.3"/>
    <n v="4"/>
    <x v="35"/>
    <s v="No"/>
  </r>
  <r>
    <x v="315"/>
    <n v="25"/>
    <x v="0"/>
    <x v="0"/>
    <x v="2"/>
    <x v="244"/>
    <n v="8"/>
    <n v="80.5"/>
    <x v="0"/>
    <x v="2"/>
    <n v="7.7"/>
    <n v="5"/>
    <x v="39"/>
    <s v="Yes"/>
  </r>
  <r>
    <x v="316"/>
    <n v="19"/>
    <x v="0"/>
    <x v="2"/>
    <x v="1"/>
    <x v="34"/>
    <n v="10"/>
    <n v="92.7"/>
    <x v="2"/>
    <x v="1"/>
    <n v="6.7"/>
    <n v="2"/>
    <x v="25"/>
    <s v="Yes"/>
  </r>
  <r>
    <x v="317"/>
    <n v="20"/>
    <x v="0"/>
    <x v="3"/>
    <x v="0"/>
    <x v="96"/>
    <n v="2"/>
    <n v="93.1"/>
    <x v="2"/>
    <x v="2"/>
    <n v="6.5"/>
    <n v="8"/>
    <x v="17"/>
    <s v="No"/>
  </r>
  <r>
    <x v="318"/>
    <n v="20"/>
    <x v="1"/>
    <x v="2"/>
    <x v="1"/>
    <x v="165"/>
    <n v="4"/>
    <n v="78"/>
    <x v="1"/>
    <x v="3"/>
    <n v="8"/>
    <n v="2"/>
    <x v="22"/>
    <s v="No"/>
  </r>
  <r>
    <x v="319"/>
    <n v="17"/>
    <x v="1"/>
    <x v="6"/>
    <x v="0"/>
    <x v="245"/>
    <n v="4"/>
    <n v="96.3"/>
    <x v="2"/>
    <x v="0"/>
    <n v="6.3"/>
    <n v="8"/>
    <x v="43"/>
    <s v="Yes"/>
  </r>
  <r>
    <x v="320"/>
    <n v="22"/>
    <x v="0"/>
    <x v="4"/>
    <x v="1"/>
    <x v="123"/>
    <n v="3"/>
    <n v="63.8"/>
    <x v="1"/>
    <x v="3"/>
    <n v="6.4"/>
    <n v="6"/>
    <x v="58"/>
    <s v="No"/>
  </r>
  <r>
    <x v="321"/>
    <n v="21"/>
    <x v="0"/>
    <x v="4"/>
    <x v="2"/>
    <x v="246"/>
    <n v="4"/>
    <n v="64.3"/>
    <x v="2"/>
    <x v="3"/>
    <n v="2.1"/>
    <n v="9"/>
    <x v="37"/>
    <s v="No"/>
  </r>
  <r>
    <x v="322"/>
    <n v="18"/>
    <x v="1"/>
    <x v="5"/>
    <x v="1"/>
    <x v="58"/>
    <n v="2"/>
    <n v="91.6"/>
    <x v="2"/>
    <x v="0"/>
    <n v="7.1"/>
    <n v="5"/>
    <x v="30"/>
    <s v="Yes"/>
  </r>
  <r>
    <x v="323"/>
    <n v="21"/>
    <x v="1"/>
    <x v="0"/>
    <x v="2"/>
    <x v="247"/>
    <n v="8"/>
    <n v="51.4"/>
    <x v="2"/>
    <x v="1"/>
    <n v="1"/>
    <n v="2"/>
    <x v="36"/>
    <s v="No"/>
  </r>
  <r>
    <x v="324"/>
    <n v="27"/>
    <x v="1"/>
    <x v="8"/>
    <x v="0"/>
    <x v="12"/>
    <n v="3"/>
    <n v="61.2"/>
    <x v="0"/>
    <x v="3"/>
    <n v="4.7"/>
    <n v="8"/>
    <x v="6"/>
    <s v="Yes"/>
  </r>
  <r>
    <x v="325"/>
    <n v="17"/>
    <x v="1"/>
    <x v="0"/>
    <x v="2"/>
    <x v="248"/>
    <n v="10"/>
    <n v="61.6"/>
    <x v="2"/>
    <x v="2"/>
    <n v="3.8"/>
    <n v="4"/>
    <x v="59"/>
    <s v="No"/>
  </r>
  <r>
    <x v="326"/>
    <n v="23"/>
    <x v="1"/>
    <x v="4"/>
    <x v="0"/>
    <x v="11"/>
    <n v="7"/>
    <n v="82.3"/>
    <x v="0"/>
    <x v="3"/>
    <n v="4.5"/>
    <n v="1"/>
    <x v="48"/>
    <s v="Yes"/>
  </r>
  <r>
    <x v="327"/>
    <n v="27"/>
    <x v="1"/>
    <x v="5"/>
    <x v="2"/>
    <x v="236"/>
    <n v="7"/>
    <n v="59.1"/>
    <x v="0"/>
    <x v="4"/>
    <n v="4.8"/>
    <n v="4"/>
    <x v="42"/>
    <s v="No"/>
  </r>
  <r>
    <x v="328"/>
    <n v="18"/>
    <x v="1"/>
    <x v="6"/>
    <x v="0"/>
    <x v="249"/>
    <n v="3"/>
    <n v="73.099999999999994"/>
    <x v="0"/>
    <x v="1"/>
    <n v="6.8"/>
    <n v="7"/>
    <x v="39"/>
    <s v="Yes"/>
  </r>
  <r>
    <x v="329"/>
    <n v="22"/>
    <x v="0"/>
    <x v="8"/>
    <x v="0"/>
    <x v="250"/>
    <n v="8"/>
    <n v="88.2"/>
    <x v="2"/>
    <x v="0"/>
    <n v="2.8"/>
    <n v="4"/>
    <x v="49"/>
    <s v="No"/>
  </r>
  <r>
    <x v="330"/>
    <n v="22"/>
    <x v="1"/>
    <x v="2"/>
    <x v="1"/>
    <x v="98"/>
    <n v="8"/>
    <n v="54.3"/>
    <x v="1"/>
    <x v="2"/>
    <n v="3.5"/>
    <n v="3"/>
    <x v="43"/>
    <s v="Yes"/>
  </r>
  <r>
    <x v="331"/>
    <n v="18"/>
    <x v="0"/>
    <x v="0"/>
    <x v="2"/>
    <x v="229"/>
    <n v="7"/>
    <n v="62.8"/>
    <x v="2"/>
    <x v="3"/>
    <n v="6.2"/>
    <n v="4"/>
    <x v="47"/>
    <s v="No"/>
  </r>
  <r>
    <x v="332"/>
    <n v="22"/>
    <x v="1"/>
    <x v="2"/>
    <x v="0"/>
    <x v="154"/>
    <n v="7"/>
    <n v="64.400000000000006"/>
    <x v="2"/>
    <x v="2"/>
    <n v="1.4"/>
    <n v="7"/>
    <x v="7"/>
    <s v="Yes"/>
  </r>
  <r>
    <x v="333"/>
    <n v="20"/>
    <x v="0"/>
    <x v="6"/>
    <x v="0"/>
    <x v="158"/>
    <n v="3"/>
    <n v="73.599999999999994"/>
    <x v="0"/>
    <x v="3"/>
    <n v="4"/>
    <n v="10"/>
    <x v="58"/>
    <s v="No"/>
  </r>
  <r>
    <x v="334"/>
    <n v="22"/>
    <x v="1"/>
    <x v="7"/>
    <x v="1"/>
    <x v="251"/>
    <n v="2"/>
    <n v="79.099999999999994"/>
    <x v="2"/>
    <x v="3"/>
    <n v="6.2"/>
    <n v="5"/>
    <x v="6"/>
    <s v="Yes"/>
  </r>
  <r>
    <x v="335"/>
    <n v="25"/>
    <x v="0"/>
    <x v="5"/>
    <x v="2"/>
    <x v="252"/>
    <n v="7"/>
    <n v="67.8"/>
    <x v="1"/>
    <x v="4"/>
    <n v="3.6"/>
    <n v="5"/>
    <x v="14"/>
    <s v="No"/>
  </r>
  <r>
    <x v="336"/>
    <n v="26"/>
    <x v="1"/>
    <x v="2"/>
    <x v="1"/>
    <x v="253"/>
    <n v="10"/>
    <n v="64"/>
    <x v="0"/>
    <x v="1"/>
    <n v="0.4"/>
    <n v="8"/>
    <x v="12"/>
    <s v="Yes"/>
  </r>
  <r>
    <x v="337"/>
    <n v="20"/>
    <x v="1"/>
    <x v="1"/>
    <x v="0"/>
    <x v="254"/>
    <n v="4"/>
    <n v="58.1"/>
    <x v="1"/>
    <x v="0"/>
    <n v="3.3"/>
    <n v="1"/>
    <x v="18"/>
    <s v="Yes"/>
  </r>
  <r>
    <x v="338"/>
    <n v="23"/>
    <x v="0"/>
    <x v="7"/>
    <x v="0"/>
    <x v="255"/>
    <n v="3"/>
    <n v="93.9"/>
    <x v="1"/>
    <x v="0"/>
    <n v="2.2000000000000002"/>
    <n v="5"/>
    <x v="62"/>
    <s v="Yes"/>
  </r>
  <r>
    <x v="339"/>
    <n v="18"/>
    <x v="1"/>
    <x v="5"/>
    <x v="1"/>
    <x v="256"/>
    <n v="10"/>
    <n v="99.2"/>
    <x v="1"/>
    <x v="4"/>
    <n v="2.6"/>
    <n v="6"/>
    <x v="7"/>
    <s v="Yes"/>
  </r>
  <r>
    <x v="340"/>
    <n v="20"/>
    <x v="0"/>
    <x v="4"/>
    <x v="2"/>
    <x v="257"/>
    <n v="7"/>
    <n v="55.2"/>
    <x v="0"/>
    <x v="4"/>
    <n v="4.5"/>
    <n v="1"/>
    <x v="44"/>
    <s v="No"/>
  </r>
  <r>
    <x v="341"/>
    <n v="26"/>
    <x v="0"/>
    <x v="4"/>
    <x v="0"/>
    <x v="258"/>
    <n v="3"/>
    <n v="56.5"/>
    <x v="2"/>
    <x v="3"/>
    <n v="5.4"/>
    <n v="9"/>
    <x v="43"/>
    <s v="Yes"/>
  </r>
  <r>
    <x v="342"/>
    <n v="20"/>
    <x v="0"/>
    <x v="7"/>
    <x v="0"/>
    <x v="251"/>
    <n v="9"/>
    <n v="97.3"/>
    <x v="0"/>
    <x v="3"/>
    <n v="6.7"/>
    <n v="4"/>
    <x v="57"/>
    <s v="Yes"/>
  </r>
  <r>
    <x v="343"/>
    <n v="27"/>
    <x v="1"/>
    <x v="0"/>
    <x v="2"/>
    <x v="146"/>
    <n v="6"/>
    <n v="88.1"/>
    <x v="1"/>
    <x v="1"/>
    <n v="4.8"/>
    <n v="9"/>
    <x v="43"/>
    <s v="Yes"/>
  </r>
  <r>
    <x v="344"/>
    <n v="22"/>
    <x v="1"/>
    <x v="7"/>
    <x v="2"/>
    <x v="180"/>
    <n v="7"/>
    <n v="91.7"/>
    <x v="2"/>
    <x v="1"/>
    <n v="7.6"/>
    <n v="4"/>
    <x v="47"/>
    <s v="No"/>
  </r>
  <r>
    <x v="345"/>
    <n v="18"/>
    <x v="0"/>
    <x v="8"/>
    <x v="1"/>
    <x v="102"/>
    <n v="7"/>
    <n v="82"/>
    <x v="0"/>
    <x v="4"/>
    <n v="1.4"/>
    <n v="6"/>
    <x v="18"/>
    <s v="No"/>
  </r>
  <r>
    <x v="346"/>
    <n v="21"/>
    <x v="1"/>
    <x v="8"/>
    <x v="1"/>
    <x v="259"/>
    <n v="10"/>
    <n v="58.5"/>
    <x v="0"/>
    <x v="3"/>
    <n v="6.9"/>
    <n v="8"/>
    <x v="27"/>
    <s v="No"/>
  </r>
  <r>
    <x v="347"/>
    <n v="25"/>
    <x v="0"/>
    <x v="0"/>
    <x v="1"/>
    <x v="56"/>
    <n v="7"/>
    <n v="88.8"/>
    <x v="1"/>
    <x v="0"/>
    <n v="2.2999999999999998"/>
    <n v="2"/>
    <x v="8"/>
    <s v="No"/>
  </r>
  <r>
    <x v="348"/>
    <n v="17"/>
    <x v="1"/>
    <x v="1"/>
    <x v="1"/>
    <x v="230"/>
    <n v="9"/>
    <n v="64.3"/>
    <x v="1"/>
    <x v="4"/>
    <n v="8.4"/>
    <n v="4"/>
    <x v="0"/>
    <s v="No"/>
  </r>
  <r>
    <x v="349"/>
    <n v="27"/>
    <x v="0"/>
    <x v="7"/>
    <x v="0"/>
    <x v="174"/>
    <n v="8"/>
    <n v="94"/>
    <x v="0"/>
    <x v="2"/>
    <n v="2.1"/>
    <n v="2"/>
    <x v="14"/>
    <s v="No"/>
  </r>
  <r>
    <x v="350"/>
    <n v="19"/>
    <x v="0"/>
    <x v="7"/>
    <x v="1"/>
    <x v="260"/>
    <n v="9"/>
    <n v="75.099999999999994"/>
    <x v="2"/>
    <x v="4"/>
    <n v="4"/>
    <n v="10"/>
    <x v="31"/>
    <s v="Yes"/>
  </r>
  <r>
    <x v="351"/>
    <n v="23"/>
    <x v="1"/>
    <x v="7"/>
    <x v="0"/>
    <x v="168"/>
    <n v="7"/>
    <n v="95.9"/>
    <x v="2"/>
    <x v="4"/>
    <n v="0.1"/>
    <n v="7"/>
    <x v="20"/>
    <s v="Yes"/>
  </r>
  <r>
    <x v="352"/>
    <n v="26"/>
    <x v="1"/>
    <x v="6"/>
    <x v="0"/>
    <x v="74"/>
    <n v="9"/>
    <n v="92.5"/>
    <x v="1"/>
    <x v="2"/>
    <n v="4.2"/>
    <n v="10"/>
    <x v="11"/>
    <s v="Yes"/>
  </r>
  <r>
    <x v="353"/>
    <n v="18"/>
    <x v="1"/>
    <x v="7"/>
    <x v="0"/>
    <x v="261"/>
    <n v="4"/>
    <n v="58.1"/>
    <x v="1"/>
    <x v="3"/>
    <n v="2.2999999999999998"/>
    <n v="3"/>
    <x v="10"/>
    <s v="No"/>
  </r>
  <r>
    <x v="354"/>
    <n v="21"/>
    <x v="1"/>
    <x v="7"/>
    <x v="2"/>
    <x v="7"/>
    <n v="10"/>
    <n v="80.7"/>
    <x v="1"/>
    <x v="0"/>
    <n v="6.7"/>
    <n v="8"/>
    <x v="5"/>
    <s v="No"/>
  </r>
  <r>
    <x v="355"/>
    <n v="18"/>
    <x v="1"/>
    <x v="1"/>
    <x v="1"/>
    <x v="262"/>
    <n v="2"/>
    <n v="76.8"/>
    <x v="0"/>
    <x v="1"/>
    <n v="7.9"/>
    <n v="1"/>
    <x v="55"/>
    <s v="No"/>
  </r>
  <r>
    <x v="356"/>
    <n v="17"/>
    <x v="1"/>
    <x v="5"/>
    <x v="0"/>
    <x v="139"/>
    <n v="2"/>
    <n v="91.5"/>
    <x v="2"/>
    <x v="2"/>
    <n v="0.4"/>
    <n v="8"/>
    <x v="29"/>
    <s v="Yes"/>
  </r>
  <r>
    <x v="357"/>
    <n v="25"/>
    <x v="1"/>
    <x v="7"/>
    <x v="1"/>
    <x v="104"/>
    <n v="8"/>
    <n v="54.9"/>
    <x v="0"/>
    <x v="1"/>
    <n v="7.5"/>
    <n v="5"/>
    <x v="63"/>
    <s v="No"/>
  </r>
  <r>
    <x v="358"/>
    <n v="24"/>
    <x v="0"/>
    <x v="6"/>
    <x v="2"/>
    <x v="263"/>
    <n v="4"/>
    <n v="82.9"/>
    <x v="1"/>
    <x v="1"/>
    <n v="6.2"/>
    <n v="6"/>
    <x v="5"/>
    <s v="No"/>
  </r>
  <r>
    <x v="359"/>
    <n v="27"/>
    <x v="0"/>
    <x v="4"/>
    <x v="0"/>
    <x v="264"/>
    <n v="5"/>
    <n v="96.9"/>
    <x v="1"/>
    <x v="3"/>
    <n v="7.1"/>
    <n v="2"/>
    <x v="39"/>
    <s v="Yes"/>
  </r>
  <r>
    <x v="360"/>
    <n v="23"/>
    <x v="1"/>
    <x v="8"/>
    <x v="1"/>
    <x v="265"/>
    <n v="5"/>
    <n v="53"/>
    <x v="0"/>
    <x v="4"/>
    <n v="8.1999999999999993"/>
    <n v="3"/>
    <x v="56"/>
    <s v="Yes"/>
  </r>
  <r>
    <x v="361"/>
    <n v="25"/>
    <x v="1"/>
    <x v="3"/>
    <x v="0"/>
    <x v="260"/>
    <n v="2"/>
    <n v="52.1"/>
    <x v="0"/>
    <x v="3"/>
    <n v="2.2000000000000002"/>
    <n v="3"/>
    <x v="8"/>
    <s v="No"/>
  </r>
  <r>
    <x v="362"/>
    <n v="21"/>
    <x v="0"/>
    <x v="2"/>
    <x v="0"/>
    <x v="266"/>
    <n v="5"/>
    <n v="76.8"/>
    <x v="0"/>
    <x v="2"/>
    <n v="2.4"/>
    <n v="1"/>
    <x v="59"/>
    <s v="Yes"/>
  </r>
  <r>
    <x v="363"/>
    <n v="24"/>
    <x v="0"/>
    <x v="6"/>
    <x v="2"/>
    <x v="90"/>
    <n v="9"/>
    <n v="62.1"/>
    <x v="1"/>
    <x v="1"/>
    <n v="7.2"/>
    <n v="9"/>
    <x v="21"/>
    <s v="No"/>
  </r>
  <r>
    <x v="364"/>
    <n v="20"/>
    <x v="0"/>
    <x v="5"/>
    <x v="1"/>
    <x v="157"/>
    <n v="4"/>
    <n v="81.400000000000006"/>
    <x v="0"/>
    <x v="2"/>
    <n v="6.2"/>
    <n v="4"/>
    <x v="59"/>
    <s v="Yes"/>
  </r>
  <r>
    <x v="365"/>
    <n v="20"/>
    <x v="1"/>
    <x v="7"/>
    <x v="2"/>
    <x v="267"/>
    <n v="10"/>
    <n v="79.5"/>
    <x v="2"/>
    <x v="3"/>
    <n v="8.6"/>
    <n v="10"/>
    <x v="42"/>
    <s v="No"/>
  </r>
  <r>
    <x v="366"/>
    <n v="23"/>
    <x v="1"/>
    <x v="0"/>
    <x v="1"/>
    <x v="268"/>
    <n v="5"/>
    <n v="68.5"/>
    <x v="1"/>
    <x v="1"/>
    <n v="4.4000000000000004"/>
    <n v="3"/>
    <x v="3"/>
    <s v="No"/>
  </r>
  <r>
    <x v="367"/>
    <n v="24"/>
    <x v="1"/>
    <x v="6"/>
    <x v="1"/>
    <x v="269"/>
    <n v="3"/>
    <n v="55.4"/>
    <x v="1"/>
    <x v="0"/>
    <n v="5.5"/>
    <n v="9"/>
    <x v="45"/>
    <s v="No"/>
  </r>
  <r>
    <x v="368"/>
    <n v="20"/>
    <x v="0"/>
    <x v="1"/>
    <x v="1"/>
    <x v="270"/>
    <n v="10"/>
    <n v="92.3"/>
    <x v="0"/>
    <x v="2"/>
    <n v="4.3"/>
    <n v="7"/>
    <x v="52"/>
    <s v="Yes"/>
  </r>
  <r>
    <x v="369"/>
    <n v="25"/>
    <x v="1"/>
    <x v="7"/>
    <x v="1"/>
    <x v="211"/>
    <n v="2"/>
    <n v="61.7"/>
    <x v="1"/>
    <x v="1"/>
    <n v="4.4000000000000004"/>
    <n v="10"/>
    <x v="22"/>
    <s v="Yes"/>
  </r>
  <r>
    <x v="370"/>
    <n v="24"/>
    <x v="0"/>
    <x v="0"/>
    <x v="0"/>
    <x v="165"/>
    <n v="5"/>
    <n v="59.9"/>
    <x v="1"/>
    <x v="0"/>
    <n v="0.3"/>
    <n v="4"/>
    <x v="38"/>
    <s v="Yes"/>
  </r>
  <r>
    <x v="371"/>
    <n v="26"/>
    <x v="1"/>
    <x v="8"/>
    <x v="0"/>
    <x v="271"/>
    <n v="6"/>
    <n v="50.1"/>
    <x v="2"/>
    <x v="4"/>
    <n v="5.6"/>
    <n v="4"/>
    <x v="56"/>
    <s v="No"/>
  </r>
  <r>
    <x v="372"/>
    <n v="19"/>
    <x v="1"/>
    <x v="5"/>
    <x v="0"/>
    <x v="272"/>
    <n v="5"/>
    <n v="98"/>
    <x v="2"/>
    <x v="4"/>
    <n v="7.1"/>
    <n v="9"/>
    <x v="62"/>
    <s v="Yes"/>
  </r>
  <r>
    <x v="373"/>
    <n v="18"/>
    <x v="1"/>
    <x v="5"/>
    <x v="2"/>
    <x v="59"/>
    <n v="8"/>
    <n v="66.900000000000006"/>
    <x v="1"/>
    <x v="0"/>
    <n v="1.7"/>
    <n v="3"/>
    <x v="57"/>
    <s v="No"/>
  </r>
  <r>
    <x v="374"/>
    <n v="18"/>
    <x v="1"/>
    <x v="1"/>
    <x v="1"/>
    <x v="273"/>
    <n v="2"/>
    <n v="71"/>
    <x v="2"/>
    <x v="1"/>
    <n v="8.1"/>
    <n v="7"/>
    <x v="15"/>
    <s v="No"/>
  </r>
  <r>
    <x v="375"/>
    <n v="25"/>
    <x v="0"/>
    <x v="3"/>
    <x v="1"/>
    <x v="274"/>
    <n v="8"/>
    <n v="93.2"/>
    <x v="1"/>
    <x v="3"/>
    <n v="8.3000000000000007"/>
    <n v="6"/>
    <x v="59"/>
    <s v="Yes"/>
  </r>
  <r>
    <x v="376"/>
    <n v="20"/>
    <x v="0"/>
    <x v="7"/>
    <x v="2"/>
    <x v="275"/>
    <n v="10"/>
    <n v="88.5"/>
    <x v="2"/>
    <x v="4"/>
    <n v="0.9"/>
    <n v="4"/>
    <x v="49"/>
    <s v="No"/>
  </r>
  <r>
    <x v="377"/>
    <n v="17"/>
    <x v="1"/>
    <x v="8"/>
    <x v="1"/>
    <x v="10"/>
    <n v="2"/>
    <n v="65"/>
    <x v="1"/>
    <x v="1"/>
    <n v="1.1000000000000001"/>
    <n v="3"/>
    <x v="8"/>
    <s v="Yes"/>
  </r>
  <r>
    <x v="378"/>
    <n v="22"/>
    <x v="1"/>
    <x v="1"/>
    <x v="1"/>
    <x v="146"/>
    <n v="6"/>
    <n v="74"/>
    <x v="0"/>
    <x v="2"/>
    <n v="6.4"/>
    <n v="10"/>
    <x v="29"/>
    <s v="No"/>
  </r>
  <r>
    <x v="379"/>
    <n v="21"/>
    <x v="0"/>
    <x v="8"/>
    <x v="0"/>
    <x v="276"/>
    <n v="7"/>
    <n v="65.8"/>
    <x v="0"/>
    <x v="1"/>
    <n v="2.2999999999999998"/>
    <n v="2"/>
    <x v="47"/>
    <s v="Yes"/>
  </r>
  <r>
    <x v="380"/>
    <n v="24"/>
    <x v="1"/>
    <x v="3"/>
    <x v="1"/>
    <x v="277"/>
    <n v="6"/>
    <n v="68.8"/>
    <x v="0"/>
    <x v="2"/>
    <n v="7.3"/>
    <n v="9"/>
    <x v="41"/>
    <s v="Yes"/>
  </r>
  <r>
    <x v="381"/>
    <n v="27"/>
    <x v="0"/>
    <x v="6"/>
    <x v="1"/>
    <x v="66"/>
    <n v="6"/>
    <n v="54.5"/>
    <x v="2"/>
    <x v="1"/>
    <n v="2.2999999999999998"/>
    <n v="1"/>
    <x v="40"/>
    <s v="Yes"/>
  </r>
  <r>
    <x v="382"/>
    <n v="27"/>
    <x v="0"/>
    <x v="4"/>
    <x v="2"/>
    <x v="278"/>
    <n v="2"/>
    <n v="99.5"/>
    <x v="0"/>
    <x v="3"/>
    <n v="0.1"/>
    <n v="7"/>
    <x v="2"/>
    <s v="Yes"/>
  </r>
  <r>
    <x v="383"/>
    <n v="18"/>
    <x v="1"/>
    <x v="0"/>
    <x v="1"/>
    <x v="135"/>
    <n v="3"/>
    <n v="69.3"/>
    <x v="0"/>
    <x v="1"/>
    <n v="7.1"/>
    <n v="1"/>
    <x v="53"/>
    <s v="Yes"/>
  </r>
  <r>
    <x v="384"/>
    <n v="24"/>
    <x v="0"/>
    <x v="5"/>
    <x v="0"/>
    <x v="279"/>
    <n v="8"/>
    <n v="98.2"/>
    <x v="0"/>
    <x v="3"/>
    <n v="5.9"/>
    <n v="9"/>
    <x v="31"/>
    <s v="No"/>
  </r>
  <r>
    <x v="385"/>
    <n v="17"/>
    <x v="0"/>
    <x v="1"/>
    <x v="0"/>
    <x v="58"/>
    <n v="6"/>
    <n v="79"/>
    <x v="1"/>
    <x v="0"/>
    <n v="7"/>
    <n v="3"/>
    <x v="42"/>
    <s v="Yes"/>
  </r>
  <r>
    <x v="386"/>
    <n v="19"/>
    <x v="1"/>
    <x v="7"/>
    <x v="2"/>
    <x v="280"/>
    <n v="7"/>
    <n v="92.8"/>
    <x v="0"/>
    <x v="0"/>
    <n v="8.9"/>
    <n v="7"/>
    <x v="45"/>
    <s v="Yes"/>
  </r>
  <r>
    <x v="387"/>
    <n v="26"/>
    <x v="0"/>
    <x v="8"/>
    <x v="2"/>
    <x v="171"/>
    <n v="6"/>
    <n v="62.6"/>
    <x v="1"/>
    <x v="0"/>
    <n v="3.9"/>
    <n v="9"/>
    <x v="9"/>
    <s v="No"/>
  </r>
  <r>
    <x v="388"/>
    <n v="22"/>
    <x v="1"/>
    <x v="5"/>
    <x v="2"/>
    <x v="281"/>
    <n v="3"/>
    <n v="92.9"/>
    <x v="1"/>
    <x v="3"/>
    <n v="6"/>
    <n v="10"/>
    <x v="9"/>
    <s v="Yes"/>
  </r>
  <r>
    <x v="389"/>
    <n v="26"/>
    <x v="1"/>
    <x v="0"/>
    <x v="1"/>
    <x v="282"/>
    <n v="2"/>
    <n v="56.1"/>
    <x v="0"/>
    <x v="3"/>
    <n v="3.9"/>
    <n v="10"/>
    <x v="37"/>
    <s v="No"/>
  </r>
  <r>
    <x v="390"/>
    <n v="17"/>
    <x v="0"/>
    <x v="2"/>
    <x v="0"/>
    <x v="283"/>
    <n v="4"/>
    <n v="83.2"/>
    <x v="2"/>
    <x v="4"/>
    <n v="6.9"/>
    <n v="3"/>
    <x v="13"/>
    <s v="Yes"/>
  </r>
  <r>
    <x v="391"/>
    <n v="25"/>
    <x v="0"/>
    <x v="1"/>
    <x v="1"/>
    <x v="178"/>
    <n v="2"/>
    <n v="52.5"/>
    <x v="1"/>
    <x v="1"/>
    <n v="0.8"/>
    <n v="2"/>
    <x v="3"/>
    <s v="Yes"/>
  </r>
  <r>
    <x v="392"/>
    <n v="20"/>
    <x v="0"/>
    <x v="1"/>
    <x v="0"/>
    <x v="175"/>
    <n v="5"/>
    <n v="68.3"/>
    <x v="1"/>
    <x v="3"/>
    <n v="2"/>
    <n v="6"/>
    <x v="19"/>
    <s v="Yes"/>
  </r>
  <r>
    <x v="393"/>
    <n v="18"/>
    <x v="0"/>
    <x v="3"/>
    <x v="0"/>
    <x v="225"/>
    <n v="4"/>
    <n v="90.1"/>
    <x v="1"/>
    <x v="3"/>
    <n v="6.5"/>
    <n v="5"/>
    <x v="2"/>
    <s v="Yes"/>
  </r>
  <r>
    <x v="394"/>
    <n v="27"/>
    <x v="0"/>
    <x v="3"/>
    <x v="0"/>
    <x v="215"/>
    <n v="4"/>
    <n v="73.099999999999994"/>
    <x v="1"/>
    <x v="1"/>
    <n v="0.3"/>
    <n v="10"/>
    <x v="0"/>
    <s v="No"/>
  </r>
  <r>
    <x v="395"/>
    <n v="25"/>
    <x v="1"/>
    <x v="0"/>
    <x v="1"/>
    <x v="284"/>
    <n v="3"/>
    <n v="88.3"/>
    <x v="2"/>
    <x v="4"/>
    <n v="2.6"/>
    <n v="10"/>
    <x v="38"/>
    <s v="No"/>
  </r>
  <r>
    <x v="396"/>
    <n v="22"/>
    <x v="1"/>
    <x v="7"/>
    <x v="1"/>
    <x v="104"/>
    <n v="7"/>
    <n v="55.9"/>
    <x v="2"/>
    <x v="1"/>
    <n v="1.3"/>
    <n v="1"/>
    <x v="27"/>
    <s v="Yes"/>
  </r>
  <r>
    <x v="397"/>
    <n v="21"/>
    <x v="1"/>
    <x v="7"/>
    <x v="2"/>
    <x v="197"/>
    <n v="8"/>
    <n v="63"/>
    <x v="0"/>
    <x v="3"/>
    <n v="7"/>
    <n v="10"/>
    <x v="4"/>
    <s v="Yes"/>
  </r>
  <r>
    <x v="398"/>
    <n v="23"/>
    <x v="1"/>
    <x v="4"/>
    <x v="0"/>
    <x v="285"/>
    <n v="7"/>
    <n v="91.7"/>
    <x v="2"/>
    <x v="4"/>
    <n v="3.8"/>
    <n v="3"/>
    <x v="39"/>
    <s v="Yes"/>
  </r>
  <r>
    <x v="399"/>
    <n v="27"/>
    <x v="0"/>
    <x v="6"/>
    <x v="2"/>
    <x v="286"/>
    <n v="3"/>
    <n v="82.5"/>
    <x v="2"/>
    <x v="1"/>
    <n v="7.8"/>
    <n v="9"/>
    <x v="12"/>
    <s v="Yes"/>
  </r>
  <r>
    <x v="400"/>
    <n v="18"/>
    <x v="1"/>
    <x v="3"/>
    <x v="0"/>
    <x v="197"/>
    <n v="7"/>
    <n v="81.7"/>
    <x v="2"/>
    <x v="2"/>
    <n v="3.5"/>
    <n v="4"/>
    <x v="33"/>
    <s v="No"/>
  </r>
  <r>
    <x v="401"/>
    <n v="19"/>
    <x v="1"/>
    <x v="6"/>
    <x v="0"/>
    <x v="287"/>
    <n v="8"/>
    <n v="86.9"/>
    <x v="2"/>
    <x v="3"/>
    <n v="5"/>
    <n v="8"/>
    <x v="15"/>
    <s v="Yes"/>
  </r>
  <r>
    <x v="402"/>
    <n v="20"/>
    <x v="0"/>
    <x v="6"/>
    <x v="0"/>
    <x v="141"/>
    <n v="6"/>
    <n v="52.2"/>
    <x v="0"/>
    <x v="3"/>
    <n v="3.8"/>
    <n v="8"/>
    <x v="62"/>
    <s v="Yes"/>
  </r>
  <r>
    <x v="403"/>
    <n v="26"/>
    <x v="1"/>
    <x v="4"/>
    <x v="0"/>
    <x v="288"/>
    <n v="3"/>
    <n v="76.099999999999994"/>
    <x v="1"/>
    <x v="3"/>
    <n v="6.1"/>
    <n v="2"/>
    <x v="50"/>
    <s v="No"/>
  </r>
  <r>
    <x v="404"/>
    <n v="27"/>
    <x v="1"/>
    <x v="4"/>
    <x v="3"/>
    <x v="289"/>
    <n v="6"/>
    <n v="80.7"/>
    <x v="2"/>
    <x v="3"/>
    <n v="6.3"/>
    <n v="10"/>
    <x v="54"/>
    <s v="Yes"/>
  </r>
  <r>
    <x v="405"/>
    <n v="20"/>
    <x v="1"/>
    <x v="4"/>
    <x v="1"/>
    <x v="290"/>
    <n v="9"/>
    <n v="72.099999999999994"/>
    <x v="2"/>
    <x v="4"/>
    <n v="6.1"/>
    <n v="5"/>
    <x v="31"/>
    <s v="Yes"/>
  </r>
  <r>
    <x v="406"/>
    <n v="17"/>
    <x v="1"/>
    <x v="5"/>
    <x v="2"/>
    <x v="291"/>
    <n v="8"/>
    <n v="71.3"/>
    <x v="1"/>
    <x v="0"/>
    <n v="3.8"/>
    <n v="1"/>
    <x v="55"/>
    <s v="No"/>
  </r>
  <r>
    <x v="407"/>
    <n v="19"/>
    <x v="1"/>
    <x v="3"/>
    <x v="1"/>
    <x v="292"/>
    <n v="5"/>
    <n v="52"/>
    <x v="0"/>
    <x v="2"/>
    <n v="2.2000000000000002"/>
    <n v="6"/>
    <x v="63"/>
    <s v="No"/>
  </r>
  <r>
    <x v="408"/>
    <n v="17"/>
    <x v="1"/>
    <x v="2"/>
    <x v="0"/>
    <x v="293"/>
    <n v="9"/>
    <n v="54"/>
    <x v="1"/>
    <x v="0"/>
    <n v="1.2"/>
    <n v="9"/>
    <x v="54"/>
    <s v="Yes"/>
  </r>
  <r>
    <x v="409"/>
    <n v="23"/>
    <x v="0"/>
    <x v="6"/>
    <x v="2"/>
    <x v="60"/>
    <n v="8"/>
    <n v="58.8"/>
    <x v="2"/>
    <x v="2"/>
    <n v="4.5999999999999996"/>
    <n v="1"/>
    <x v="61"/>
    <s v="No"/>
  </r>
  <r>
    <x v="410"/>
    <n v="22"/>
    <x v="1"/>
    <x v="8"/>
    <x v="0"/>
    <x v="116"/>
    <n v="3"/>
    <n v="81.3"/>
    <x v="0"/>
    <x v="3"/>
    <n v="0.2"/>
    <n v="10"/>
    <x v="55"/>
    <s v="No"/>
  </r>
  <r>
    <x v="411"/>
    <n v="23"/>
    <x v="0"/>
    <x v="5"/>
    <x v="0"/>
    <x v="285"/>
    <n v="8"/>
    <n v="63.6"/>
    <x v="2"/>
    <x v="1"/>
    <n v="7"/>
    <n v="8"/>
    <x v="19"/>
    <s v="No"/>
  </r>
  <r>
    <x v="412"/>
    <n v="24"/>
    <x v="0"/>
    <x v="6"/>
    <x v="1"/>
    <x v="294"/>
    <n v="10"/>
    <n v="65.900000000000006"/>
    <x v="2"/>
    <x v="2"/>
    <n v="4.5999999999999996"/>
    <n v="1"/>
    <x v="45"/>
    <s v="Yes"/>
  </r>
  <r>
    <x v="413"/>
    <n v="18"/>
    <x v="1"/>
    <x v="7"/>
    <x v="0"/>
    <x v="83"/>
    <n v="7"/>
    <n v="94.5"/>
    <x v="1"/>
    <x v="1"/>
    <n v="2.2999999999999998"/>
    <n v="8"/>
    <x v="46"/>
    <s v="No"/>
  </r>
  <r>
    <x v="414"/>
    <n v="25"/>
    <x v="1"/>
    <x v="1"/>
    <x v="0"/>
    <x v="158"/>
    <n v="6"/>
    <n v="95.9"/>
    <x v="0"/>
    <x v="1"/>
    <n v="3.7"/>
    <n v="7"/>
    <x v="55"/>
    <s v="Yes"/>
  </r>
  <r>
    <x v="415"/>
    <n v="24"/>
    <x v="1"/>
    <x v="6"/>
    <x v="2"/>
    <x v="295"/>
    <n v="3"/>
    <n v="59.6"/>
    <x v="0"/>
    <x v="3"/>
    <n v="2.2000000000000002"/>
    <n v="2"/>
    <x v="4"/>
    <s v="No"/>
  </r>
  <r>
    <x v="416"/>
    <n v="18"/>
    <x v="1"/>
    <x v="4"/>
    <x v="2"/>
    <x v="296"/>
    <n v="2"/>
    <n v="92"/>
    <x v="2"/>
    <x v="3"/>
    <n v="5.2"/>
    <n v="8"/>
    <x v="18"/>
    <s v="No"/>
  </r>
  <r>
    <x v="417"/>
    <n v="26"/>
    <x v="1"/>
    <x v="2"/>
    <x v="0"/>
    <x v="297"/>
    <n v="9"/>
    <n v="71.8"/>
    <x v="0"/>
    <x v="2"/>
    <n v="5.6"/>
    <n v="7"/>
    <x v="15"/>
    <s v="Yes"/>
  </r>
  <r>
    <x v="418"/>
    <n v="18"/>
    <x v="1"/>
    <x v="4"/>
    <x v="0"/>
    <x v="298"/>
    <n v="4"/>
    <n v="52.3"/>
    <x v="1"/>
    <x v="4"/>
    <n v="4.7"/>
    <n v="2"/>
    <x v="64"/>
    <s v="No"/>
  </r>
  <r>
    <x v="419"/>
    <n v="26"/>
    <x v="0"/>
    <x v="7"/>
    <x v="2"/>
    <x v="299"/>
    <n v="10"/>
    <n v="90"/>
    <x v="2"/>
    <x v="2"/>
    <n v="5.5"/>
    <n v="10"/>
    <x v="42"/>
    <s v="No"/>
  </r>
  <r>
    <x v="420"/>
    <n v="22"/>
    <x v="0"/>
    <x v="6"/>
    <x v="2"/>
    <x v="258"/>
    <n v="7"/>
    <n v="77.099999999999994"/>
    <x v="2"/>
    <x v="3"/>
    <n v="6.5"/>
    <n v="9"/>
    <x v="0"/>
    <s v="Yes"/>
  </r>
  <r>
    <x v="421"/>
    <n v="21"/>
    <x v="0"/>
    <x v="6"/>
    <x v="2"/>
    <x v="300"/>
    <n v="6"/>
    <n v="74.3"/>
    <x v="1"/>
    <x v="4"/>
    <n v="1.3"/>
    <n v="4"/>
    <x v="30"/>
    <s v="Yes"/>
  </r>
  <r>
    <x v="422"/>
    <n v="27"/>
    <x v="1"/>
    <x v="8"/>
    <x v="1"/>
    <x v="301"/>
    <n v="7"/>
    <n v="99"/>
    <x v="0"/>
    <x v="3"/>
    <n v="6.5"/>
    <n v="9"/>
    <x v="38"/>
    <s v="No"/>
  </r>
  <r>
    <x v="423"/>
    <n v="24"/>
    <x v="0"/>
    <x v="2"/>
    <x v="1"/>
    <x v="251"/>
    <n v="7"/>
    <n v="60"/>
    <x v="0"/>
    <x v="2"/>
    <n v="3.6"/>
    <n v="5"/>
    <x v="40"/>
    <s v="No"/>
  </r>
  <r>
    <x v="424"/>
    <n v="27"/>
    <x v="1"/>
    <x v="2"/>
    <x v="1"/>
    <x v="302"/>
    <n v="5"/>
    <n v="67.5"/>
    <x v="1"/>
    <x v="1"/>
    <n v="6.9"/>
    <n v="3"/>
    <x v="52"/>
    <s v="No"/>
  </r>
  <r>
    <x v="425"/>
    <n v="19"/>
    <x v="1"/>
    <x v="7"/>
    <x v="1"/>
    <x v="303"/>
    <n v="7"/>
    <n v="96.3"/>
    <x v="2"/>
    <x v="0"/>
    <n v="7.9"/>
    <n v="1"/>
    <x v="8"/>
    <s v="Yes"/>
  </r>
  <r>
    <x v="426"/>
    <n v="27"/>
    <x v="0"/>
    <x v="4"/>
    <x v="3"/>
    <x v="33"/>
    <n v="8"/>
    <n v="71.599999999999994"/>
    <x v="2"/>
    <x v="4"/>
    <n v="0.7"/>
    <n v="7"/>
    <x v="40"/>
    <s v="Yes"/>
  </r>
  <r>
    <x v="427"/>
    <n v="26"/>
    <x v="1"/>
    <x v="5"/>
    <x v="2"/>
    <x v="304"/>
    <n v="5"/>
    <n v="72.099999999999994"/>
    <x v="1"/>
    <x v="1"/>
    <n v="4.4000000000000004"/>
    <n v="6"/>
    <x v="39"/>
    <s v="No"/>
  </r>
  <r>
    <x v="428"/>
    <n v="24"/>
    <x v="0"/>
    <x v="3"/>
    <x v="0"/>
    <x v="206"/>
    <n v="3"/>
    <n v="76.099999999999994"/>
    <x v="1"/>
    <x v="1"/>
    <n v="8"/>
    <n v="6"/>
    <x v="46"/>
    <s v="No"/>
  </r>
  <r>
    <x v="429"/>
    <n v="26"/>
    <x v="0"/>
    <x v="3"/>
    <x v="1"/>
    <x v="305"/>
    <n v="6"/>
    <n v="67.5"/>
    <x v="1"/>
    <x v="1"/>
    <n v="3.4"/>
    <n v="7"/>
    <x v="51"/>
    <s v="Yes"/>
  </r>
  <r>
    <x v="430"/>
    <n v="27"/>
    <x v="1"/>
    <x v="3"/>
    <x v="0"/>
    <x v="123"/>
    <n v="7"/>
    <n v="97.6"/>
    <x v="0"/>
    <x v="4"/>
    <n v="5.0999999999999996"/>
    <n v="3"/>
    <x v="7"/>
    <s v="No"/>
  </r>
  <r>
    <x v="431"/>
    <n v="26"/>
    <x v="0"/>
    <x v="4"/>
    <x v="1"/>
    <x v="306"/>
    <n v="2"/>
    <n v="89.3"/>
    <x v="1"/>
    <x v="2"/>
    <n v="4.5999999999999996"/>
    <n v="4"/>
    <x v="20"/>
    <s v="No"/>
  </r>
  <r>
    <x v="432"/>
    <n v="17"/>
    <x v="1"/>
    <x v="5"/>
    <x v="1"/>
    <x v="307"/>
    <n v="4"/>
    <n v="51.8"/>
    <x v="0"/>
    <x v="0"/>
    <n v="6.1"/>
    <n v="4"/>
    <x v="29"/>
    <s v="Yes"/>
  </r>
  <r>
    <x v="433"/>
    <n v="26"/>
    <x v="0"/>
    <x v="1"/>
    <x v="0"/>
    <x v="308"/>
    <n v="9"/>
    <n v="74.7"/>
    <x v="1"/>
    <x v="2"/>
    <n v="4.4000000000000004"/>
    <n v="5"/>
    <x v="11"/>
    <s v="No"/>
  </r>
  <r>
    <x v="434"/>
    <n v="23"/>
    <x v="0"/>
    <x v="4"/>
    <x v="3"/>
    <x v="168"/>
    <n v="8"/>
    <n v="87"/>
    <x v="1"/>
    <x v="3"/>
    <n v="4.8"/>
    <n v="4"/>
    <x v="48"/>
    <s v="Yes"/>
  </r>
  <r>
    <x v="435"/>
    <n v="25"/>
    <x v="0"/>
    <x v="5"/>
    <x v="2"/>
    <x v="309"/>
    <n v="10"/>
    <n v="59.6"/>
    <x v="2"/>
    <x v="4"/>
    <n v="4.8"/>
    <n v="8"/>
    <x v="60"/>
    <s v="Yes"/>
  </r>
  <r>
    <x v="436"/>
    <n v="20"/>
    <x v="1"/>
    <x v="5"/>
    <x v="2"/>
    <x v="310"/>
    <n v="3"/>
    <n v="53.7"/>
    <x v="0"/>
    <x v="2"/>
    <n v="8.1"/>
    <n v="10"/>
    <x v="56"/>
    <s v="No"/>
  </r>
  <r>
    <x v="437"/>
    <n v="24"/>
    <x v="0"/>
    <x v="8"/>
    <x v="0"/>
    <x v="55"/>
    <n v="3"/>
    <n v="76.900000000000006"/>
    <x v="1"/>
    <x v="0"/>
    <n v="5.2"/>
    <n v="8"/>
    <x v="55"/>
    <s v="No"/>
  </r>
  <r>
    <x v="438"/>
    <n v="21"/>
    <x v="1"/>
    <x v="5"/>
    <x v="1"/>
    <x v="311"/>
    <n v="9"/>
    <n v="57.8"/>
    <x v="0"/>
    <x v="0"/>
    <n v="4.5999999999999996"/>
    <n v="8"/>
    <x v="6"/>
    <s v="No"/>
  </r>
  <r>
    <x v="439"/>
    <n v="21"/>
    <x v="1"/>
    <x v="2"/>
    <x v="0"/>
    <x v="53"/>
    <n v="6"/>
    <n v="74.2"/>
    <x v="1"/>
    <x v="3"/>
    <n v="3.9"/>
    <n v="8"/>
    <x v="39"/>
    <s v="No"/>
  </r>
  <r>
    <x v="440"/>
    <n v="17"/>
    <x v="0"/>
    <x v="5"/>
    <x v="1"/>
    <x v="199"/>
    <n v="7"/>
    <n v="91.1"/>
    <x v="2"/>
    <x v="4"/>
    <n v="0.1"/>
    <n v="5"/>
    <x v="45"/>
    <s v="No"/>
  </r>
  <r>
    <x v="441"/>
    <n v="26"/>
    <x v="1"/>
    <x v="7"/>
    <x v="1"/>
    <x v="263"/>
    <n v="5"/>
    <n v="67.7"/>
    <x v="0"/>
    <x v="4"/>
    <n v="5.0999999999999996"/>
    <n v="5"/>
    <x v="12"/>
    <s v="No"/>
  </r>
  <r>
    <x v="442"/>
    <n v="27"/>
    <x v="1"/>
    <x v="7"/>
    <x v="2"/>
    <x v="115"/>
    <n v="3"/>
    <n v="77.5"/>
    <x v="0"/>
    <x v="2"/>
    <n v="8.9"/>
    <n v="2"/>
    <x v="9"/>
    <s v="Yes"/>
  </r>
  <r>
    <x v="443"/>
    <n v="24"/>
    <x v="1"/>
    <x v="8"/>
    <x v="1"/>
    <x v="277"/>
    <n v="4"/>
    <n v="50.9"/>
    <x v="0"/>
    <x v="0"/>
    <n v="4.0999999999999996"/>
    <n v="6"/>
    <x v="52"/>
    <s v="No"/>
  </r>
  <r>
    <x v="444"/>
    <n v="18"/>
    <x v="0"/>
    <x v="6"/>
    <x v="0"/>
    <x v="312"/>
    <n v="10"/>
    <n v="83.6"/>
    <x v="0"/>
    <x v="3"/>
    <n v="7.7"/>
    <n v="9"/>
    <x v="58"/>
    <s v="Yes"/>
  </r>
  <r>
    <x v="445"/>
    <n v="23"/>
    <x v="0"/>
    <x v="2"/>
    <x v="0"/>
    <x v="278"/>
    <n v="6"/>
    <n v="74.5"/>
    <x v="2"/>
    <x v="1"/>
    <n v="5.7"/>
    <n v="8"/>
    <x v="56"/>
    <s v="Yes"/>
  </r>
  <r>
    <x v="446"/>
    <n v="26"/>
    <x v="1"/>
    <x v="6"/>
    <x v="2"/>
    <x v="313"/>
    <n v="4"/>
    <n v="99.2"/>
    <x v="2"/>
    <x v="4"/>
    <n v="2.1"/>
    <n v="1"/>
    <x v="12"/>
    <s v="Yes"/>
  </r>
  <r>
    <x v="447"/>
    <n v="17"/>
    <x v="0"/>
    <x v="8"/>
    <x v="1"/>
    <x v="174"/>
    <n v="4"/>
    <n v="60.7"/>
    <x v="2"/>
    <x v="0"/>
    <n v="8.1999999999999993"/>
    <n v="8"/>
    <x v="10"/>
    <s v="Yes"/>
  </r>
  <r>
    <x v="448"/>
    <n v="19"/>
    <x v="1"/>
    <x v="8"/>
    <x v="2"/>
    <x v="314"/>
    <n v="3"/>
    <n v="87.7"/>
    <x v="0"/>
    <x v="3"/>
    <n v="3.3"/>
    <n v="9"/>
    <x v="8"/>
    <s v="Yes"/>
  </r>
  <r>
    <x v="449"/>
    <n v="19"/>
    <x v="1"/>
    <x v="0"/>
    <x v="0"/>
    <x v="315"/>
    <n v="6"/>
    <n v="81.8"/>
    <x v="1"/>
    <x v="2"/>
    <n v="8.9"/>
    <n v="1"/>
    <x v="44"/>
    <s v="Yes"/>
  </r>
  <r>
    <x v="450"/>
    <n v="20"/>
    <x v="0"/>
    <x v="7"/>
    <x v="2"/>
    <x v="316"/>
    <n v="4"/>
    <n v="65.599999999999994"/>
    <x v="0"/>
    <x v="4"/>
    <n v="8"/>
    <n v="8"/>
    <x v="50"/>
    <s v="Yes"/>
  </r>
  <r>
    <x v="451"/>
    <n v="26"/>
    <x v="0"/>
    <x v="2"/>
    <x v="1"/>
    <x v="317"/>
    <n v="5"/>
    <n v="88.6"/>
    <x v="1"/>
    <x v="4"/>
    <n v="4.7"/>
    <n v="2"/>
    <x v="20"/>
    <s v="Yes"/>
  </r>
  <r>
    <x v="452"/>
    <n v="17"/>
    <x v="1"/>
    <x v="1"/>
    <x v="1"/>
    <x v="318"/>
    <n v="8"/>
    <n v="83.5"/>
    <x v="0"/>
    <x v="4"/>
    <n v="7.4"/>
    <n v="4"/>
    <x v="2"/>
    <s v="Yes"/>
  </r>
  <r>
    <x v="453"/>
    <n v="23"/>
    <x v="1"/>
    <x v="1"/>
    <x v="0"/>
    <x v="319"/>
    <n v="7"/>
    <n v="63.4"/>
    <x v="0"/>
    <x v="4"/>
    <n v="3"/>
    <n v="8"/>
    <x v="34"/>
    <s v="Yes"/>
  </r>
  <r>
    <x v="454"/>
    <n v="20"/>
    <x v="1"/>
    <x v="7"/>
    <x v="2"/>
    <x v="6"/>
    <n v="7"/>
    <n v="51.8"/>
    <x v="0"/>
    <x v="2"/>
    <n v="5.4"/>
    <n v="3"/>
    <x v="0"/>
    <s v="No"/>
  </r>
  <r>
    <x v="455"/>
    <n v="21"/>
    <x v="0"/>
    <x v="3"/>
    <x v="0"/>
    <x v="184"/>
    <n v="6"/>
    <n v="89.6"/>
    <x v="2"/>
    <x v="4"/>
    <n v="4.9000000000000004"/>
    <n v="3"/>
    <x v="42"/>
    <s v="Yes"/>
  </r>
  <r>
    <x v="456"/>
    <n v="25"/>
    <x v="0"/>
    <x v="4"/>
    <x v="0"/>
    <x v="320"/>
    <n v="7"/>
    <n v="80.3"/>
    <x v="2"/>
    <x v="3"/>
    <n v="2"/>
    <n v="1"/>
    <x v="44"/>
    <s v="No"/>
  </r>
  <r>
    <x v="457"/>
    <n v="23"/>
    <x v="0"/>
    <x v="8"/>
    <x v="1"/>
    <x v="321"/>
    <n v="9"/>
    <n v="81"/>
    <x v="0"/>
    <x v="1"/>
    <n v="5.8"/>
    <n v="2"/>
    <x v="16"/>
    <s v="Yes"/>
  </r>
  <r>
    <x v="458"/>
    <n v="20"/>
    <x v="1"/>
    <x v="2"/>
    <x v="0"/>
    <x v="130"/>
    <n v="3"/>
    <n v="58.7"/>
    <x v="0"/>
    <x v="1"/>
    <n v="8.1"/>
    <n v="3"/>
    <x v="44"/>
    <s v="No"/>
  </r>
  <r>
    <x v="459"/>
    <n v="24"/>
    <x v="0"/>
    <x v="5"/>
    <x v="1"/>
    <x v="33"/>
    <n v="9"/>
    <n v="67.900000000000006"/>
    <x v="0"/>
    <x v="2"/>
    <n v="1.4"/>
    <n v="4"/>
    <x v="4"/>
    <s v="Yes"/>
  </r>
  <r>
    <x v="460"/>
    <n v="24"/>
    <x v="1"/>
    <x v="4"/>
    <x v="2"/>
    <x v="135"/>
    <n v="7"/>
    <n v="80.7"/>
    <x v="2"/>
    <x v="2"/>
    <n v="6.4"/>
    <n v="2"/>
    <x v="17"/>
    <s v="No"/>
  </r>
  <r>
    <x v="461"/>
    <n v="26"/>
    <x v="0"/>
    <x v="0"/>
    <x v="0"/>
    <x v="322"/>
    <n v="2"/>
    <n v="61.2"/>
    <x v="0"/>
    <x v="0"/>
    <n v="0.7"/>
    <n v="2"/>
    <x v="10"/>
    <s v="Yes"/>
  </r>
  <r>
    <x v="462"/>
    <n v="20"/>
    <x v="1"/>
    <x v="0"/>
    <x v="1"/>
    <x v="311"/>
    <n v="8"/>
    <n v="98.2"/>
    <x v="2"/>
    <x v="0"/>
    <n v="7.7"/>
    <n v="3"/>
    <x v="52"/>
    <s v="Yes"/>
  </r>
  <r>
    <x v="463"/>
    <n v="18"/>
    <x v="1"/>
    <x v="7"/>
    <x v="0"/>
    <x v="323"/>
    <n v="10"/>
    <n v="67.900000000000006"/>
    <x v="0"/>
    <x v="3"/>
    <n v="3.8"/>
    <n v="2"/>
    <x v="9"/>
    <s v="Yes"/>
  </r>
  <r>
    <x v="464"/>
    <n v="18"/>
    <x v="1"/>
    <x v="7"/>
    <x v="0"/>
    <x v="149"/>
    <n v="3"/>
    <n v="89.3"/>
    <x v="0"/>
    <x v="2"/>
    <n v="0.9"/>
    <n v="8"/>
    <x v="40"/>
    <s v="Yes"/>
  </r>
  <r>
    <x v="465"/>
    <n v="23"/>
    <x v="0"/>
    <x v="7"/>
    <x v="2"/>
    <x v="11"/>
    <n v="8"/>
    <n v="97"/>
    <x v="1"/>
    <x v="1"/>
    <n v="6.6"/>
    <n v="2"/>
    <x v="48"/>
    <s v="No"/>
  </r>
  <r>
    <x v="466"/>
    <n v="20"/>
    <x v="0"/>
    <x v="8"/>
    <x v="2"/>
    <x v="158"/>
    <n v="9"/>
    <n v="70.2"/>
    <x v="0"/>
    <x v="4"/>
    <n v="6.9"/>
    <n v="9"/>
    <x v="65"/>
    <s v="No"/>
  </r>
  <r>
    <x v="467"/>
    <n v="19"/>
    <x v="0"/>
    <x v="8"/>
    <x v="1"/>
    <x v="324"/>
    <n v="7"/>
    <n v="74.8"/>
    <x v="2"/>
    <x v="3"/>
    <n v="1.2"/>
    <n v="9"/>
    <x v="22"/>
    <s v="Yes"/>
  </r>
  <r>
    <x v="468"/>
    <n v="20"/>
    <x v="0"/>
    <x v="1"/>
    <x v="0"/>
    <x v="244"/>
    <n v="10"/>
    <n v="53.7"/>
    <x v="0"/>
    <x v="0"/>
    <n v="6.8"/>
    <n v="3"/>
    <x v="28"/>
    <s v="No"/>
  </r>
  <r>
    <x v="469"/>
    <n v="17"/>
    <x v="1"/>
    <x v="1"/>
    <x v="1"/>
    <x v="325"/>
    <n v="5"/>
    <n v="82.2"/>
    <x v="2"/>
    <x v="0"/>
    <n v="7.5"/>
    <n v="8"/>
    <x v="27"/>
    <s v="No"/>
  </r>
  <r>
    <x v="470"/>
    <n v="25"/>
    <x v="1"/>
    <x v="8"/>
    <x v="1"/>
    <x v="168"/>
    <n v="2"/>
    <n v="93.1"/>
    <x v="2"/>
    <x v="2"/>
    <n v="1"/>
    <n v="3"/>
    <x v="40"/>
    <s v="No"/>
  </r>
  <r>
    <x v="471"/>
    <n v="19"/>
    <x v="1"/>
    <x v="3"/>
    <x v="0"/>
    <x v="326"/>
    <n v="6"/>
    <n v="92.4"/>
    <x v="0"/>
    <x v="3"/>
    <n v="1.4"/>
    <n v="6"/>
    <x v="64"/>
    <s v="Yes"/>
  </r>
  <r>
    <x v="472"/>
    <n v="17"/>
    <x v="1"/>
    <x v="7"/>
    <x v="2"/>
    <x v="327"/>
    <n v="2"/>
    <n v="87.4"/>
    <x v="0"/>
    <x v="0"/>
    <n v="8.9"/>
    <n v="10"/>
    <x v="12"/>
    <s v="No"/>
  </r>
  <r>
    <x v="473"/>
    <n v="23"/>
    <x v="1"/>
    <x v="1"/>
    <x v="0"/>
    <x v="290"/>
    <n v="3"/>
    <n v="70.3"/>
    <x v="0"/>
    <x v="1"/>
    <n v="2.8"/>
    <n v="10"/>
    <x v="4"/>
    <s v="Yes"/>
  </r>
  <r>
    <x v="474"/>
    <n v="25"/>
    <x v="0"/>
    <x v="0"/>
    <x v="0"/>
    <x v="328"/>
    <n v="9"/>
    <n v="50.8"/>
    <x v="2"/>
    <x v="2"/>
    <n v="5.8"/>
    <n v="9"/>
    <x v="31"/>
    <s v="No"/>
  </r>
  <r>
    <x v="475"/>
    <n v="24"/>
    <x v="0"/>
    <x v="5"/>
    <x v="0"/>
    <x v="329"/>
    <n v="7"/>
    <n v="59.6"/>
    <x v="0"/>
    <x v="2"/>
    <n v="8.8000000000000007"/>
    <n v="6"/>
    <x v="20"/>
    <s v="No"/>
  </r>
  <r>
    <x v="476"/>
    <n v="23"/>
    <x v="0"/>
    <x v="6"/>
    <x v="1"/>
    <x v="306"/>
    <n v="2"/>
    <n v="64.900000000000006"/>
    <x v="1"/>
    <x v="1"/>
    <n v="6"/>
    <n v="9"/>
    <x v="51"/>
    <s v="Yes"/>
  </r>
  <r>
    <x v="477"/>
    <n v="18"/>
    <x v="0"/>
    <x v="6"/>
    <x v="2"/>
    <x v="330"/>
    <n v="9"/>
    <n v="60.6"/>
    <x v="1"/>
    <x v="2"/>
    <n v="2.2999999999999998"/>
    <n v="8"/>
    <x v="31"/>
    <s v="Yes"/>
  </r>
  <r>
    <x v="478"/>
    <n v="21"/>
    <x v="0"/>
    <x v="4"/>
    <x v="2"/>
    <x v="53"/>
    <n v="5"/>
    <n v="60.6"/>
    <x v="1"/>
    <x v="2"/>
    <n v="2.7"/>
    <n v="6"/>
    <x v="9"/>
    <s v="Yes"/>
  </r>
  <r>
    <x v="479"/>
    <n v="24"/>
    <x v="0"/>
    <x v="2"/>
    <x v="0"/>
    <x v="331"/>
    <n v="2"/>
    <n v="77.7"/>
    <x v="2"/>
    <x v="3"/>
    <n v="7.7"/>
    <n v="6"/>
    <x v="16"/>
    <s v="No"/>
  </r>
  <r>
    <x v="480"/>
    <n v="22"/>
    <x v="0"/>
    <x v="1"/>
    <x v="1"/>
    <x v="332"/>
    <n v="5"/>
    <n v="58.6"/>
    <x v="1"/>
    <x v="1"/>
    <n v="8.4"/>
    <n v="7"/>
    <x v="62"/>
    <s v="Yes"/>
  </r>
  <r>
    <x v="481"/>
    <n v="18"/>
    <x v="1"/>
    <x v="8"/>
    <x v="1"/>
    <x v="202"/>
    <n v="2"/>
    <n v="52.4"/>
    <x v="0"/>
    <x v="4"/>
    <n v="4.9000000000000004"/>
    <n v="2"/>
    <x v="19"/>
    <s v="Yes"/>
  </r>
  <r>
    <x v="482"/>
    <n v="23"/>
    <x v="0"/>
    <x v="2"/>
    <x v="0"/>
    <x v="86"/>
    <n v="8"/>
    <n v="90.4"/>
    <x v="0"/>
    <x v="1"/>
    <n v="1.8"/>
    <n v="2"/>
    <x v="4"/>
    <s v="Yes"/>
  </r>
  <r>
    <x v="483"/>
    <n v="17"/>
    <x v="1"/>
    <x v="4"/>
    <x v="0"/>
    <x v="240"/>
    <n v="6"/>
    <n v="90.1"/>
    <x v="2"/>
    <x v="1"/>
    <n v="3.9"/>
    <n v="1"/>
    <x v="38"/>
    <s v="No"/>
  </r>
  <r>
    <x v="484"/>
    <n v="20"/>
    <x v="1"/>
    <x v="7"/>
    <x v="0"/>
    <x v="241"/>
    <n v="7"/>
    <n v="95.4"/>
    <x v="2"/>
    <x v="4"/>
    <n v="3.1"/>
    <n v="8"/>
    <x v="43"/>
    <s v="No"/>
  </r>
  <r>
    <x v="485"/>
    <n v="23"/>
    <x v="1"/>
    <x v="2"/>
    <x v="0"/>
    <x v="333"/>
    <n v="6"/>
    <n v="99.8"/>
    <x v="0"/>
    <x v="4"/>
    <n v="3.1"/>
    <n v="7"/>
    <x v="1"/>
    <s v="Yes"/>
  </r>
  <r>
    <x v="486"/>
    <n v="21"/>
    <x v="0"/>
    <x v="6"/>
    <x v="0"/>
    <x v="334"/>
    <n v="6"/>
    <n v="83.9"/>
    <x v="0"/>
    <x v="3"/>
    <n v="4.4000000000000004"/>
    <n v="6"/>
    <x v="39"/>
    <s v="Yes"/>
  </r>
  <r>
    <x v="487"/>
    <n v="19"/>
    <x v="0"/>
    <x v="7"/>
    <x v="1"/>
    <x v="98"/>
    <n v="3"/>
    <n v="85.7"/>
    <x v="2"/>
    <x v="2"/>
    <n v="0.8"/>
    <n v="6"/>
    <x v="52"/>
    <s v="Yes"/>
  </r>
  <r>
    <x v="488"/>
    <n v="18"/>
    <x v="0"/>
    <x v="5"/>
    <x v="0"/>
    <x v="322"/>
    <n v="7"/>
    <n v="98.5"/>
    <x v="0"/>
    <x v="4"/>
    <n v="5.3"/>
    <n v="2"/>
    <x v="18"/>
    <s v="No"/>
  </r>
  <r>
    <x v="489"/>
    <n v="26"/>
    <x v="0"/>
    <x v="3"/>
    <x v="0"/>
    <x v="335"/>
    <n v="9"/>
    <n v="87.4"/>
    <x v="0"/>
    <x v="3"/>
    <n v="4.9000000000000004"/>
    <n v="4"/>
    <x v="37"/>
    <s v="No"/>
  </r>
  <r>
    <x v="490"/>
    <n v="18"/>
    <x v="1"/>
    <x v="0"/>
    <x v="0"/>
    <x v="336"/>
    <n v="9"/>
    <n v="84.9"/>
    <x v="2"/>
    <x v="3"/>
    <n v="7.6"/>
    <n v="1"/>
    <x v="35"/>
    <s v="Yes"/>
  </r>
  <r>
    <x v="491"/>
    <n v="23"/>
    <x v="1"/>
    <x v="4"/>
    <x v="3"/>
    <x v="337"/>
    <n v="2"/>
    <n v="93.9"/>
    <x v="0"/>
    <x v="0"/>
    <n v="1.9"/>
    <n v="8"/>
    <x v="39"/>
    <s v="Yes"/>
  </r>
  <r>
    <x v="492"/>
    <n v="25"/>
    <x v="1"/>
    <x v="0"/>
    <x v="1"/>
    <x v="333"/>
    <n v="2"/>
    <n v="91.6"/>
    <x v="0"/>
    <x v="2"/>
    <n v="8.6"/>
    <n v="1"/>
    <x v="17"/>
    <s v="No"/>
  </r>
  <r>
    <x v="493"/>
    <n v="22"/>
    <x v="0"/>
    <x v="7"/>
    <x v="1"/>
    <x v="66"/>
    <n v="3"/>
    <n v="50.5"/>
    <x v="1"/>
    <x v="0"/>
    <n v="7.2"/>
    <n v="10"/>
    <x v="34"/>
    <s v="Yes"/>
  </r>
  <r>
    <x v="494"/>
    <n v="18"/>
    <x v="0"/>
    <x v="2"/>
    <x v="1"/>
    <x v="338"/>
    <n v="5"/>
    <n v="65.5"/>
    <x v="0"/>
    <x v="1"/>
    <n v="1"/>
    <n v="8"/>
    <x v="35"/>
    <s v="Yes"/>
  </r>
  <r>
    <x v="495"/>
    <n v="26"/>
    <x v="0"/>
    <x v="8"/>
    <x v="0"/>
    <x v="332"/>
    <n v="10"/>
    <n v="78.2"/>
    <x v="0"/>
    <x v="0"/>
    <n v="1.3"/>
    <n v="8"/>
    <x v="38"/>
    <s v="No"/>
  </r>
  <r>
    <x v="496"/>
    <n v="25"/>
    <x v="1"/>
    <x v="4"/>
    <x v="2"/>
    <x v="339"/>
    <n v="10"/>
    <n v="68.099999999999994"/>
    <x v="1"/>
    <x v="2"/>
    <n v="5.0999999999999996"/>
    <n v="10"/>
    <x v="23"/>
    <s v="No"/>
  </r>
  <r>
    <x v="497"/>
    <n v="22"/>
    <x v="0"/>
    <x v="2"/>
    <x v="0"/>
    <x v="340"/>
    <n v="10"/>
    <n v="50.9"/>
    <x v="0"/>
    <x v="0"/>
    <n v="7.8"/>
    <n v="4"/>
    <x v="24"/>
    <s v="Yes"/>
  </r>
  <r>
    <x v="498"/>
    <n v="19"/>
    <x v="0"/>
    <x v="1"/>
    <x v="0"/>
    <x v="324"/>
    <n v="8"/>
    <n v="81.599999999999994"/>
    <x v="2"/>
    <x v="4"/>
    <n v="8.6"/>
    <n v="4"/>
    <x v="6"/>
    <s v="No"/>
  </r>
  <r>
    <x v="499"/>
    <n v="22"/>
    <x v="0"/>
    <x v="1"/>
    <x v="0"/>
    <x v="141"/>
    <n v="6"/>
    <n v="65.400000000000006"/>
    <x v="0"/>
    <x v="4"/>
    <n v="6.6"/>
    <n v="2"/>
    <x v="33"/>
    <s v="Yes"/>
  </r>
  <r>
    <x v="500"/>
    <n v="25"/>
    <x v="1"/>
    <x v="1"/>
    <x v="1"/>
    <x v="341"/>
    <n v="7"/>
    <n v="56.8"/>
    <x v="0"/>
    <x v="3"/>
    <n v="0.9"/>
    <n v="8"/>
    <x v="41"/>
    <s v="No"/>
  </r>
  <r>
    <x v="501"/>
    <n v="25"/>
    <x v="0"/>
    <x v="2"/>
    <x v="1"/>
    <x v="310"/>
    <n v="3"/>
    <n v="76.2"/>
    <x v="0"/>
    <x v="3"/>
    <n v="1.5"/>
    <n v="9"/>
    <x v="14"/>
    <s v="No"/>
  </r>
  <r>
    <x v="502"/>
    <n v="22"/>
    <x v="1"/>
    <x v="2"/>
    <x v="1"/>
    <x v="179"/>
    <n v="2"/>
    <n v="87.4"/>
    <x v="1"/>
    <x v="4"/>
    <n v="6.6"/>
    <n v="8"/>
    <x v="28"/>
    <s v="No"/>
  </r>
  <r>
    <x v="503"/>
    <n v="26"/>
    <x v="1"/>
    <x v="4"/>
    <x v="1"/>
    <x v="11"/>
    <n v="4"/>
    <n v="92.8"/>
    <x v="2"/>
    <x v="0"/>
    <n v="1.7"/>
    <n v="4"/>
    <x v="56"/>
    <s v="Yes"/>
  </r>
  <r>
    <x v="504"/>
    <n v="20"/>
    <x v="1"/>
    <x v="8"/>
    <x v="2"/>
    <x v="342"/>
    <n v="10"/>
    <n v="92.4"/>
    <x v="0"/>
    <x v="4"/>
    <n v="2.6"/>
    <n v="10"/>
    <x v="3"/>
    <s v="Yes"/>
  </r>
  <r>
    <x v="505"/>
    <n v="23"/>
    <x v="1"/>
    <x v="5"/>
    <x v="1"/>
    <x v="321"/>
    <n v="6"/>
    <n v="58.1"/>
    <x v="2"/>
    <x v="2"/>
    <n v="5.4"/>
    <n v="7"/>
    <x v="24"/>
    <s v="Yes"/>
  </r>
  <r>
    <x v="506"/>
    <n v="22"/>
    <x v="1"/>
    <x v="2"/>
    <x v="1"/>
    <x v="44"/>
    <n v="7"/>
    <n v="98.8"/>
    <x v="0"/>
    <x v="1"/>
    <n v="3.2"/>
    <n v="4"/>
    <x v="40"/>
    <s v="Yes"/>
  </r>
  <r>
    <x v="507"/>
    <n v="20"/>
    <x v="1"/>
    <x v="0"/>
    <x v="0"/>
    <x v="343"/>
    <n v="2"/>
    <n v="73.3"/>
    <x v="0"/>
    <x v="1"/>
    <n v="8.9"/>
    <n v="6"/>
    <x v="31"/>
    <s v="Yes"/>
  </r>
  <r>
    <x v="508"/>
    <n v="24"/>
    <x v="0"/>
    <x v="6"/>
    <x v="0"/>
    <x v="344"/>
    <n v="4"/>
    <n v="50.4"/>
    <x v="0"/>
    <x v="1"/>
    <n v="5.9"/>
    <n v="5"/>
    <x v="42"/>
    <s v="No"/>
  </r>
  <r>
    <x v="509"/>
    <n v="19"/>
    <x v="1"/>
    <x v="0"/>
    <x v="1"/>
    <x v="157"/>
    <n v="5"/>
    <n v="50.1"/>
    <x v="2"/>
    <x v="4"/>
    <n v="4.8"/>
    <n v="5"/>
    <x v="60"/>
    <s v="No"/>
  </r>
  <r>
    <x v="510"/>
    <n v="27"/>
    <x v="0"/>
    <x v="3"/>
    <x v="1"/>
    <x v="251"/>
    <n v="2"/>
    <n v="52.3"/>
    <x v="1"/>
    <x v="0"/>
    <n v="8.1"/>
    <n v="8"/>
    <x v="6"/>
    <s v="Yes"/>
  </r>
  <r>
    <x v="511"/>
    <n v="26"/>
    <x v="1"/>
    <x v="2"/>
    <x v="0"/>
    <x v="23"/>
    <n v="4"/>
    <n v="99.6"/>
    <x v="2"/>
    <x v="1"/>
    <n v="2.8"/>
    <n v="3"/>
    <x v="43"/>
    <s v="No"/>
  </r>
  <r>
    <x v="512"/>
    <n v="23"/>
    <x v="0"/>
    <x v="7"/>
    <x v="0"/>
    <x v="268"/>
    <n v="5"/>
    <n v="56.7"/>
    <x v="0"/>
    <x v="2"/>
    <n v="5.8"/>
    <n v="7"/>
    <x v="50"/>
    <s v="No"/>
  </r>
  <r>
    <x v="513"/>
    <n v="19"/>
    <x v="1"/>
    <x v="6"/>
    <x v="1"/>
    <x v="76"/>
    <n v="8"/>
    <n v="58.9"/>
    <x v="0"/>
    <x v="0"/>
    <n v="3.3"/>
    <n v="5"/>
    <x v="15"/>
    <s v="No"/>
  </r>
  <r>
    <x v="514"/>
    <n v="20"/>
    <x v="1"/>
    <x v="3"/>
    <x v="1"/>
    <x v="345"/>
    <n v="8"/>
    <n v="81.8"/>
    <x v="2"/>
    <x v="2"/>
    <n v="3.3"/>
    <n v="1"/>
    <x v="40"/>
    <s v="Yes"/>
  </r>
  <r>
    <x v="515"/>
    <n v="24"/>
    <x v="1"/>
    <x v="2"/>
    <x v="1"/>
    <x v="161"/>
    <n v="6"/>
    <n v="67.599999999999994"/>
    <x v="0"/>
    <x v="1"/>
    <n v="1.4"/>
    <n v="10"/>
    <x v="52"/>
    <s v="Yes"/>
  </r>
  <r>
    <x v="516"/>
    <n v="20"/>
    <x v="0"/>
    <x v="8"/>
    <x v="1"/>
    <x v="2"/>
    <n v="5"/>
    <n v="55.4"/>
    <x v="2"/>
    <x v="4"/>
    <n v="4.9000000000000004"/>
    <n v="2"/>
    <x v="43"/>
    <s v="Yes"/>
  </r>
  <r>
    <x v="517"/>
    <n v="27"/>
    <x v="0"/>
    <x v="0"/>
    <x v="0"/>
    <x v="161"/>
    <n v="8"/>
    <n v="76.8"/>
    <x v="1"/>
    <x v="2"/>
    <n v="7.3"/>
    <n v="5"/>
    <x v="58"/>
    <s v="Yes"/>
  </r>
  <r>
    <x v="518"/>
    <n v="20"/>
    <x v="1"/>
    <x v="2"/>
    <x v="1"/>
    <x v="290"/>
    <n v="3"/>
    <n v="71.5"/>
    <x v="1"/>
    <x v="1"/>
    <n v="6.7"/>
    <n v="4"/>
    <x v="4"/>
    <s v="No"/>
  </r>
  <r>
    <x v="519"/>
    <n v="17"/>
    <x v="1"/>
    <x v="3"/>
    <x v="0"/>
    <x v="346"/>
    <n v="7"/>
    <n v="57.7"/>
    <x v="1"/>
    <x v="4"/>
    <n v="5.6"/>
    <n v="4"/>
    <x v="18"/>
    <s v="Yes"/>
  </r>
  <r>
    <x v="520"/>
    <n v="26"/>
    <x v="1"/>
    <x v="7"/>
    <x v="0"/>
    <x v="229"/>
    <n v="3"/>
    <n v="77.099999999999994"/>
    <x v="1"/>
    <x v="4"/>
    <n v="8.5"/>
    <n v="1"/>
    <x v="12"/>
    <s v="Yes"/>
  </r>
  <r>
    <x v="521"/>
    <n v="21"/>
    <x v="1"/>
    <x v="8"/>
    <x v="2"/>
    <x v="167"/>
    <n v="2"/>
    <n v="86.9"/>
    <x v="1"/>
    <x v="0"/>
    <n v="0.6"/>
    <n v="6"/>
    <x v="54"/>
    <s v="No"/>
  </r>
  <r>
    <x v="522"/>
    <n v="25"/>
    <x v="1"/>
    <x v="6"/>
    <x v="0"/>
    <x v="347"/>
    <n v="3"/>
    <n v="57.2"/>
    <x v="2"/>
    <x v="4"/>
    <n v="2.5"/>
    <n v="6"/>
    <x v="28"/>
    <s v="Yes"/>
  </r>
  <r>
    <x v="523"/>
    <n v="17"/>
    <x v="0"/>
    <x v="3"/>
    <x v="0"/>
    <x v="67"/>
    <n v="10"/>
    <n v="74.599999999999994"/>
    <x v="0"/>
    <x v="4"/>
    <n v="5.4"/>
    <n v="2"/>
    <x v="48"/>
    <s v="Yes"/>
  </r>
  <r>
    <x v="524"/>
    <n v="27"/>
    <x v="0"/>
    <x v="8"/>
    <x v="0"/>
    <x v="96"/>
    <n v="10"/>
    <n v="96.3"/>
    <x v="2"/>
    <x v="2"/>
    <n v="1.9"/>
    <n v="6"/>
    <x v="42"/>
    <s v="No"/>
  </r>
  <r>
    <x v="525"/>
    <n v="18"/>
    <x v="0"/>
    <x v="6"/>
    <x v="2"/>
    <x v="32"/>
    <n v="2"/>
    <n v="95.8"/>
    <x v="0"/>
    <x v="4"/>
    <n v="3.9"/>
    <n v="4"/>
    <x v="20"/>
    <s v="No"/>
  </r>
  <r>
    <x v="526"/>
    <n v="21"/>
    <x v="1"/>
    <x v="4"/>
    <x v="1"/>
    <x v="348"/>
    <n v="9"/>
    <n v="63.7"/>
    <x v="1"/>
    <x v="2"/>
    <n v="2.1"/>
    <n v="9"/>
    <x v="8"/>
    <s v="Yes"/>
  </r>
  <r>
    <x v="527"/>
    <n v="19"/>
    <x v="0"/>
    <x v="2"/>
    <x v="0"/>
    <x v="347"/>
    <n v="9"/>
    <n v="59.8"/>
    <x v="2"/>
    <x v="0"/>
    <n v="8"/>
    <n v="1"/>
    <x v="42"/>
    <s v="Yes"/>
  </r>
  <r>
    <x v="528"/>
    <n v="19"/>
    <x v="0"/>
    <x v="0"/>
    <x v="1"/>
    <x v="54"/>
    <n v="7"/>
    <n v="91.9"/>
    <x v="1"/>
    <x v="2"/>
    <n v="5.5"/>
    <n v="10"/>
    <x v="37"/>
    <s v="No"/>
  </r>
  <r>
    <x v="529"/>
    <n v="23"/>
    <x v="0"/>
    <x v="8"/>
    <x v="1"/>
    <x v="349"/>
    <n v="7"/>
    <n v="57"/>
    <x v="2"/>
    <x v="0"/>
    <n v="2.2999999999999998"/>
    <n v="8"/>
    <x v="9"/>
    <s v="Yes"/>
  </r>
  <r>
    <x v="530"/>
    <n v="19"/>
    <x v="0"/>
    <x v="4"/>
    <x v="2"/>
    <x v="350"/>
    <n v="9"/>
    <n v="78.8"/>
    <x v="2"/>
    <x v="0"/>
    <n v="4.2"/>
    <n v="2"/>
    <x v="3"/>
    <s v="No"/>
  </r>
  <r>
    <x v="531"/>
    <n v="21"/>
    <x v="0"/>
    <x v="4"/>
    <x v="3"/>
    <x v="351"/>
    <n v="3"/>
    <n v="88"/>
    <x v="2"/>
    <x v="0"/>
    <n v="2"/>
    <n v="9"/>
    <x v="13"/>
    <s v="No"/>
  </r>
  <r>
    <x v="532"/>
    <n v="23"/>
    <x v="1"/>
    <x v="0"/>
    <x v="0"/>
    <x v="127"/>
    <n v="2"/>
    <n v="66.3"/>
    <x v="2"/>
    <x v="0"/>
    <n v="6.9"/>
    <n v="1"/>
    <x v="62"/>
    <s v="No"/>
  </r>
  <r>
    <x v="533"/>
    <n v="17"/>
    <x v="0"/>
    <x v="6"/>
    <x v="0"/>
    <x v="62"/>
    <n v="2"/>
    <n v="79.900000000000006"/>
    <x v="1"/>
    <x v="1"/>
    <n v="3.5"/>
    <n v="4"/>
    <x v="13"/>
    <s v="Yes"/>
  </r>
  <r>
    <x v="534"/>
    <n v="20"/>
    <x v="1"/>
    <x v="3"/>
    <x v="1"/>
    <x v="352"/>
    <n v="10"/>
    <n v="88.1"/>
    <x v="1"/>
    <x v="2"/>
    <n v="1.6"/>
    <n v="10"/>
    <x v="12"/>
    <s v="No"/>
  </r>
  <r>
    <x v="535"/>
    <n v="25"/>
    <x v="0"/>
    <x v="6"/>
    <x v="1"/>
    <x v="264"/>
    <n v="7"/>
    <n v="90.6"/>
    <x v="0"/>
    <x v="1"/>
    <n v="2.2999999999999998"/>
    <n v="1"/>
    <x v="47"/>
    <s v="No"/>
  </r>
  <r>
    <x v="536"/>
    <n v="20"/>
    <x v="1"/>
    <x v="2"/>
    <x v="0"/>
    <x v="353"/>
    <n v="4"/>
    <n v="74.7"/>
    <x v="2"/>
    <x v="4"/>
    <n v="5.7"/>
    <n v="8"/>
    <x v="54"/>
    <s v="No"/>
  </r>
  <r>
    <x v="537"/>
    <n v="20"/>
    <x v="1"/>
    <x v="5"/>
    <x v="1"/>
    <x v="257"/>
    <n v="7"/>
    <n v="72.5"/>
    <x v="1"/>
    <x v="1"/>
    <n v="0.5"/>
    <n v="6"/>
    <x v="2"/>
    <s v="Yes"/>
  </r>
  <r>
    <x v="538"/>
    <n v="24"/>
    <x v="1"/>
    <x v="4"/>
    <x v="3"/>
    <x v="305"/>
    <n v="4"/>
    <n v="85.2"/>
    <x v="0"/>
    <x v="0"/>
    <n v="0.6"/>
    <n v="4"/>
    <x v="29"/>
    <s v="Yes"/>
  </r>
  <r>
    <x v="539"/>
    <n v="24"/>
    <x v="0"/>
    <x v="4"/>
    <x v="2"/>
    <x v="354"/>
    <n v="10"/>
    <n v="72.7"/>
    <x v="1"/>
    <x v="3"/>
    <n v="4.8"/>
    <n v="2"/>
    <x v="43"/>
    <s v="No"/>
  </r>
  <r>
    <x v="540"/>
    <n v="20"/>
    <x v="1"/>
    <x v="6"/>
    <x v="2"/>
    <x v="355"/>
    <n v="6"/>
    <n v="92"/>
    <x v="2"/>
    <x v="0"/>
    <n v="5.3"/>
    <n v="5"/>
    <x v="9"/>
    <s v="Yes"/>
  </r>
  <r>
    <x v="541"/>
    <n v="25"/>
    <x v="1"/>
    <x v="0"/>
    <x v="1"/>
    <x v="146"/>
    <n v="6"/>
    <n v="98.7"/>
    <x v="1"/>
    <x v="0"/>
    <n v="5.5"/>
    <n v="4"/>
    <x v="40"/>
    <s v="Yes"/>
  </r>
  <r>
    <x v="542"/>
    <n v="23"/>
    <x v="0"/>
    <x v="7"/>
    <x v="0"/>
    <x v="10"/>
    <n v="4"/>
    <n v="89.4"/>
    <x v="0"/>
    <x v="2"/>
    <n v="4"/>
    <n v="7"/>
    <x v="57"/>
    <s v="Yes"/>
  </r>
  <r>
    <x v="543"/>
    <n v="22"/>
    <x v="1"/>
    <x v="0"/>
    <x v="2"/>
    <x v="356"/>
    <n v="7"/>
    <n v="69"/>
    <x v="2"/>
    <x v="4"/>
    <n v="8.1999999999999993"/>
    <n v="10"/>
    <x v="51"/>
    <s v="No"/>
  </r>
  <r>
    <x v="544"/>
    <n v="24"/>
    <x v="1"/>
    <x v="5"/>
    <x v="0"/>
    <x v="130"/>
    <n v="8"/>
    <n v="84.1"/>
    <x v="0"/>
    <x v="1"/>
    <n v="6.3"/>
    <n v="5"/>
    <x v="49"/>
    <s v="Yes"/>
  </r>
  <r>
    <x v="545"/>
    <n v="27"/>
    <x v="1"/>
    <x v="2"/>
    <x v="0"/>
    <x v="269"/>
    <n v="5"/>
    <n v="81.5"/>
    <x v="2"/>
    <x v="4"/>
    <n v="5.8"/>
    <n v="9"/>
    <x v="57"/>
    <s v="No"/>
  </r>
  <r>
    <x v="546"/>
    <n v="26"/>
    <x v="0"/>
    <x v="8"/>
    <x v="2"/>
    <x v="294"/>
    <n v="4"/>
    <n v="87.8"/>
    <x v="1"/>
    <x v="1"/>
    <n v="0.3"/>
    <n v="8"/>
    <x v="39"/>
    <s v="Yes"/>
  </r>
  <r>
    <x v="547"/>
    <n v="20"/>
    <x v="0"/>
    <x v="5"/>
    <x v="0"/>
    <x v="350"/>
    <n v="4"/>
    <n v="69.599999999999994"/>
    <x v="1"/>
    <x v="3"/>
    <n v="3.5"/>
    <n v="2"/>
    <x v="25"/>
    <s v="Yes"/>
  </r>
  <r>
    <x v="548"/>
    <n v="26"/>
    <x v="1"/>
    <x v="5"/>
    <x v="0"/>
    <x v="357"/>
    <n v="2"/>
    <n v="73.7"/>
    <x v="2"/>
    <x v="4"/>
    <n v="2.1"/>
    <n v="2"/>
    <x v="65"/>
    <s v="No"/>
  </r>
  <r>
    <x v="549"/>
    <n v="24"/>
    <x v="1"/>
    <x v="3"/>
    <x v="1"/>
    <x v="358"/>
    <n v="3"/>
    <n v="77.099999999999994"/>
    <x v="0"/>
    <x v="3"/>
    <n v="4.5"/>
    <n v="10"/>
    <x v="24"/>
    <s v="No"/>
  </r>
  <r>
    <x v="550"/>
    <n v="23"/>
    <x v="1"/>
    <x v="3"/>
    <x v="1"/>
    <x v="343"/>
    <n v="7"/>
    <n v="78"/>
    <x v="0"/>
    <x v="1"/>
    <n v="0.5"/>
    <n v="9"/>
    <x v="2"/>
    <s v="Yes"/>
  </r>
  <r>
    <x v="551"/>
    <n v="17"/>
    <x v="1"/>
    <x v="0"/>
    <x v="0"/>
    <x v="359"/>
    <n v="4"/>
    <n v="94.3"/>
    <x v="2"/>
    <x v="2"/>
    <n v="5.8"/>
    <n v="8"/>
    <x v="9"/>
    <s v="Yes"/>
  </r>
  <r>
    <x v="552"/>
    <n v="26"/>
    <x v="0"/>
    <x v="5"/>
    <x v="2"/>
    <x v="56"/>
    <n v="7"/>
    <n v="83.1"/>
    <x v="1"/>
    <x v="0"/>
    <n v="1.5"/>
    <n v="5"/>
    <x v="39"/>
    <s v="No"/>
  </r>
  <r>
    <x v="553"/>
    <n v="23"/>
    <x v="0"/>
    <x v="7"/>
    <x v="1"/>
    <x v="360"/>
    <n v="6"/>
    <n v="92"/>
    <x v="1"/>
    <x v="4"/>
    <n v="2.2000000000000002"/>
    <n v="6"/>
    <x v="13"/>
    <s v="Yes"/>
  </r>
  <r>
    <x v="554"/>
    <n v="18"/>
    <x v="1"/>
    <x v="3"/>
    <x v="0"/>
    <x v="259"/>
    <n v="10"/>
    <n v="64.400000000000006"/>
    <x v="2"/>
    <x v="1"/>
    <n v="4.2"/>
    <n v="7"/>
    <x v="25"/>
    <s v="No"/>
  </r>
  <r>
    <x v="555"/>
    <n v="26"/>
    <x v="0"/>
    <x v="7"/>
    <x v="1"/>
    <x v="52"/>
    <n v="8"/>
    <n v="88.6"/>
    <x v="2"/>
    <x v="1"/>
    <n v="4.2"/>
    <n v="2"/>
    <x v="42"/>
    <s v="No"/>
  </r>
  <r>
    <x v="556"/>
    <n v="22"/>
    <x v="0"/>
    <x v="1"/>
    <x v="0"/>
    <x v="117"/>
    <n v="6"/>
    <n v="98.1"/>
    <x v="0"/>
    <x v="0"/>
    <n v="5.2"/>
    <n v="5"/>
    <x v="40"/>
    <s v="Yes"/>
  </r>
  <r>
    <x v="557"/>
    <n v="19"/>
    <x v="0"/>
    <x v="1"/>
    <x v="0"/>
    <x v="72"/>
    <n v="9"/>
    <n v="89.6"/>
    <x v="0"/>
    <x v="3"/>
    <n v="5.2"/>
    <n v="4"/>
    <x v="48"/>
    <s v="No"/>
  </r>
  <r>
    <x v="558"/>
    <n v="26"/>
    <x v="1"/>
    <x v="6"/>
    <x v="1"/>
    <x v="142"/>
    <n v="8"/>
    <n v="65"/>
    <x v="1"/>
    <x v="2"/>
    <n v="8.4"/>
    <n v="7"/>
    <x v="16"/>
    <s v="Yes"/>
  </r>
  <r>
    <x v="559"/>
    <n v="23"/>
    <x v="0"/>
    <x v="3"/>
    <x v="0"/>
    <x v="361"/>
    <n v="6"/>
    <n v="55.3"/>
    <x v="2"/>
    <x v="3"/>
    <n v="0.3"/>
    <n v="7"/>
    <x v="55"/>
    <s v="Yes"/>
  </r>
  <r>
    <x v="560"/>
    <n v="20"/>
    <x v="0"/>
    <x v="6"/>
    <x v="0"/>
    <x v="61"/>
    <n v="9"/>
    <n v="80.7"/>
    <x v="2"/>
    <x v="2"/>
    <n v="1.4"/>
    <n v="10"/>
    <x v="5"/>
    <s v="Yes"/>
  </r>
  <r>
    <x v="561"/>
    <n v="24"/>
    <x v="1"/>
    <x v="3"/>
    <x v="0"/>
    <x v="362"/>
    <n v="8"/>
    <n v="63.6"/>
    <x v="0"/>
    <x v="2"/>
    <n v="1.1000000000000001"/>
    <n v="2"/>
    <x v="24"/>
    <s v="No"/>
  </r>
  <r>
    <x v="562"/>
    <n v="17"/>
    <x v="1"/>
    <x v="7"/>
    <x v="1"/>
    <x v="363"/>
    <n v="4"/>
    <n v="87.4"/>
    <x v="2"/>
    <x v="0"/>
    <n v="4.8"/>
    <n v="4"/>
    <x v="42"/>
    <s v="Yes"/>
  </r>
  <r>
    <x v="563"/>
    <n v="24"/>
    <x v="0"/>
    <x v="6"/>
    <x v="0"/>
    <x v="26"/>
    <n v="5"/>
    <n v="82.9"/>
    <x v="0"/>
    <x v="2"/>
    <n v="5"/>
    <n v="3"/>
    <x v="45"/>
    <s v="Yes"/>
  </r>
  <r>
    <x v="564"/>
    <n v="19"/>
    <x v="0"/>
    <x v="3"/>
    <x v="1"/>
    <x v="178"/>
    <n v="10"/>
    <n v="68.7"/>
    <x v="0"/>
    <x v="3"/>
    <n v="2"/>
    <n v="3"/>
    <x v="43"/>
    <s v="No"/>
  </r>
  <r>
    <x v="565"/>
    <n v="26"/>
    <x v="1"/>
    <x v="6"/>
    <x v="1"/>
    <x v="364"/>
    <n v="10"/>
    <n v="73"/>
    <x v="2"/>
    <x v="2"/>
    <n v="1.8"/>
    <n v="1"/>
    <x v="56"/>
    <s v="Yes"/>
  </r>
  <r>
    <x v="566"/>
    <n v="17"/>
    <x v="1"/>
    <x v="3"/>
    <x v="0"/>
    <x v="352"/>
    <n v="9"/>
    <n v="75.5"/>
    <x v="2"/>
    <x v="4"/>
    <n v="7.1"/>
    <n v="3"/>
    <x v="18"/>
    <s v="Yes"/>
  </r>
  <r>
    <x v="567"/>
    <n v="24"/>
    <x v="1"/>
    <x v="2"/>
    <x v="0"/>
    <x v="328"/>
    <n v="4"/>
    <n v="90.1"/>
    <x v="0"/>
    <x v="1"/>
    <n v="0.9"/>
    <n v="5"/>
    <x v="64"/>
    <s v="No"/>
  </r>
  <r>
    <x v="568"/>
    <n v="26"/>
    <x v="0"/>
    <x v="8"/>
    <x v="2"/>
    <x v="359"/>
    <n v="4"/>
    <n v="94"/>
    <x v="1"/>
    <x v="1"/>
    <n v="7.7"/>
    <n v="10"/>
    <x v="65"/>
    <s v="No"/>
  </r>
  <r>
    <x v="569"/>
    <n v="23"/>
    <x v="1"/>
    <x v="7"/>
    <x v="1"/>
    <x v="66"/>
    <n v="9"/>
    <n v="85.5"/>
    <x v="0"/>
    <x v="2"/>
    <n v="4.8"/>
    <n v="10"/>
    <x v="6"/>
    <s v="Yes"/>
  </r>
  <r>
    <x v="570"/>
    <n v="17"/>
    <x v="0"/>
    <x v="6"/>
    <x v="1"/>
    <x v="198"/>
    <n v="6"/>
    <n v="75.8"/>
    <x v="2"/>
    <x v="4"/>
    <n v="7"/>
    <n v="3"/>
    <x v="1"/>
    <s v="Yes"/>
  </r>
  <r>
    <x v="571"/>
    <n v="23"/>
    <x v="0"/>
    <x v="2"/>
    <x v="0"/>
    <x v="278"/>
    <n v="10"/>
    <n v="52.8"/>
    <x v="0"/>
    <x v="1"/>
    <n v="7.1"/>
    <n v="7"/>
    <x v="9"/>
    <s v="No"/>
  </r>
  <r>
    <x v="572"/>
    <n v="18"/>
    <x v="0"/>
    <x v="3"/>
    <x v="1"/>
    <x v="365"/>
    <n v="2"/>
    <n v="54.1"/>
    <x v="1"/>
    <x v="0"/>
    <n v="8"/>
    <n v="6"/>
    <x v="44"/>
    <s v="No"/>
  </r>
  <r>
    <x v="573"/>
    <n v="19"/>
    <x v="0"/>
    <x v="1"/>
    <x v="0"/>
    <x v="366"/>
    <n v="4"/>
    <n v="82.1"/>
    <x v="1"/>
    <x v="4"/>
    <n v="5.5"/>
    <n v="9"/>
    <x v="56"/>
    <s v="No"/>
  </r>
  <r>
    <x v="574"/>
    <n v="25"/>
    <x v="0"/>
    <x v="6"/>
    <x v="1"/>
    <x v="343"/>
    <n v="3"/>
    <n v="75.2"/>
    <x v="0"/>
    <x v="1"/>
    <n v="6.4"/>
    <n v="5"/>
    <x v="30"/>
    <s v="No"/>
  </r>
  <r>
    <x v="575"/>
    <n v="22"/>
    <x v="1"/>
    <x v="6"/>
    <x v="0"/>
    <x v="161"/>
    <n v="4"/>
    <n v="93.5"/>
    <x v="1"/>
    <x v="1"/>
    <n v="1.2"/>
    <n v="7"/>
    <x v="56"/>
    <s v="Yes"/>
  </r>
  <r>
    <x v="576"/>
    <n v="26"/>
    <x v="1"/>
    <x v="3"/>
    <x v="1"/>
    <x v="367"/>
    <n v="2"/>
    <n v="69"/>
    <x v="2"/>
    <x v="2"/>
    <n v="7.4"/>
    <n v="6"/>
    <x v="52"/>
    <s v="Yes"/>
  </r>
  <r>
    <x v="577"/>
    <n v="17"/>
    <x v="0"/>
    <x v="6"/>
    <x v="2"/>
    <x v="207"/>
    <n v="5"/>
    <n v="71.7"/>
    <x v="2"/>
    <x v="0"/>
    <n v="2.6"/>
    <n v="5"/>
    <x v="50"/>
    <s v="No"/>
  </r>
  <r>
    <x v="578"/>
    <n v="23"/>
    <x v="0"/>
    <x v="3"/>
    <x v="0"/>
    <x v="36"/>
    <n v="8"/>
    <n v="65"/>
    <x v="1"/>
    <x v="2"/>
    <n v="0.2"/>
    <n v="7"/>
    <x v="13"/>
    <s v="No"/>
  </r>
  <r>
    <x v="579"/>
    <n v="27"/>
    <x v="0"/>
    <x v="3"/>
    <x v="1"/>
    <x v="368"/>
    <n v="6"/>
    <n v="82"/>
    <x v="1"/>
    <x v="0"/>
    <n v="8.3000000000000007"/>
    <n v="8"/>
    <x v="50"/>
    <s v="No"/>
  </r>
  <r>
    <x v="580"/>
    <n v="24"/>
    <x v="1"/>
    <x v="4"/>
    <x v="2"/>
    <x v="369"/>
    <n v="8"/>
    <n v="51.6"/>
    <x v="1"/>
    <x v="4"/>
    <n v="2.8"/>
    <n v="8"/>
    <x v="31"/>
    <s v="No"/>
  </r>
  <r>
    <x v="581"/>
    <n v="26"/>
    <x v="1"/>
    <x v="5"/>
    <x v="1"/>
    <x v="200"/>
    <n v="10"/>
    <n v="61.8"/>
    <x v="2"/>
    <x v="1"/>
    <n v="7.7"/>
    <n v="8"/>
    <x v="35"/>
    <s v="Yes"/>
  </r>
  <r>
    <x v="582"/>
    <n v="24"/>
    <x v="0"/>
    <x v="1"/>
    <x v="0"/>
    <x v="181"/>
    <n v="4"/>
    <n v="67.099999999999994"/>
    <x v="1"/>
    <x v="1"/>
    <n v="8.6"/>
    <n v="1"/>
    <x v="25"/>
    <s v="No"/>
  </r>
  <r>
    <x v="583"/>
    <n v="19"/>
    <x v="0"/>
    <x v="7"/>
    <x v="2"/>
    <x v="370"/>
    <n v="10"/>
    <n v="87.7"/>
    <x v="1"/>
    <x v="2"/>
    <n v="5.3"/>
    <n v="6"/>
    <x v="56"/>
    <s v="No"/>
  </r>
  <r>
    <x v="584"/>
    <n v="20"/>
    <x v="1"/>
    <x v="4"/>
    <x v="1"/>
    <x v="334"/>
    <n v="7"/>
    <n v="63.9"/>
    <x v="0"/>
    <x v="3"/>
    <n v="8.3000000000000007"/>
    <n v="5"/>
    <x v="43"/>
    <s v="Yes"/>
  </r>
  <r>
    <x v="585"/>
    <n v="21"/>
    <x v="0"/>
    <x v="5"/>
    <x v="0"/>
    <x v="216"/>
    <n v="4"/>
    <n v="82.6"/>
    <x v="2"/>
    <x v="3"/>
    <n v="4.3"/>
    <n v="8"/>
    <x v="27"/>
    <s v="No"/>
  </r>
  <r>
    <x v="586"/>
    <n v="27"/>
    <x v="0"/>
    <x v="0"/>
    <x v="1"/>
    <x v="84"/>
    <n v="10"/>
    <n v="96.6"/>
    <x v="1"/>
    <x v="0"/>
    <n v="1.1000000000000001"/>
    <n v="6"/>
    <x v="53"/>
    <s v="No"/>
  </r>
  <r>
    <x v="587"/>
    <n v="20"/>
    <x v="1"/>
    <x v="5"/>
    <x v="0"/>
    <x v="371"/>
    <n v="4"/>
    <n v="83.1"/>
    <x v="1"/>
    <x v="3"/>
    <n v="8.8000000000000007"/>
    <n v="9"/>
    <x v="17"/>
    <s v="Yes"/>
  </r>
  <r>
    <x v="588"/>
    <n v="24"/>
    <x v="0"/>
    <x v="6"/>
    <x v="2"/>
    <x v="198"/>
    <n v="6"/>
    <n v="64.8"/>
    <x v="2"/>
    <x v="0"/>
    <n v="8.3000000000000007"/>
    <n v="10"/>
    <x v="8"/>
    <s v="No"/>
  </r>
  <r>
    <x v="589"/>
    <n v="18"/>
    <x v="1"/>
    <x v="6"/>
    <x v="2"/>
    <x v="286"/>
    <n v="6"/>
    <n v="56.8"/>
    <x v="1"/>
    <x v="2"/>
    <n v="7"/>
    <n v="3"/>
    <x v="15"/>
    <s v="Yes"/>
  </r>
  <r>
    <x v="590"/>
    <n v="25"/>
    <x v="0"/>
    <x v="2"/>
    <x v="1"/>
    <x v="120"/>
    <n v="5"/>
    <n v="82.5"/>
    <x v="0"/>
    <x v="3"/>
    <n v="4.0999999999999996"/>
    <n v="4"/>
    <x v="63"/>
    <s v="Yes"/>
  </r>
  <r>
    <x v="591"/>
    <n v="24"/>
    <x v="1"/>
    <x v="6"/>
    <x v="2"/>
    <x v="121"/>
    <n v="7"/>
    <n v="78.3"/>
    <x v="2"/>
    <x v="2"/>
    <n v="4.2"/>
    <n v="5"/>
    <x v="52"/>
    <s v="No"/>
  </r>
  <r>
    <x v="592"/>
    <n v="27"/>
    <x v="0"/>
    <x v="3"/>
    <x v="0"/>
    <x v="372"/>
    <n v="3"/>
    <n v="83.6"/>
    <x v="0"/>
    <x v="0"/>
    <n v="0.8"/>
    <n v="9"/>
    <x v="28"/>
    <s v="No"/>
  </r>
  <r>
    <x v="593"/>
    <n v="26"/>
    <x v="1"/>
    <x v="8"/>
    <x v="0"/>
    <x v="282"/>
    <n v="3"/>
    <n v="58.3"/>
    <x v="1"/>
    <x v="3"/>
    <n v="2.4"/>
    <n v="5"/>
    <x v="11"/>
    <s v="No"/>
  </r>
  <r>
    <x v="594"/>
    <n v="18"/>
    <x v="0"/>
    <x v="8"/>
    <x v="1"/>
    <x v="234"/>
    <n v="10"/>
    <n v="61.8"/>
    <x v="0"/>
    <x v="4"/>
    <n v="7.8"/>
    <n v="3"/>
    <x v="64"/>
    <s v="Yes"/>
  </r>
  <r>
    <x v="595"/>
    <n v="22"/>
    <x v="1"/>
    <x v="0"/>
    <x v="1"/>
    <x v="266"/>
    <n v="8"/>
    <n v="87.5"/>
    <x v="2"/>
    <x v="2"/>
    <n v="3.2"/>
    <n v="5"/>
    <x v="62"/>
    <s v="Yes"/>
  </r>
  <r>
    <x v="596"/>
    <n v="17"/>
    <x v="0"/>
    <x v="4"/>
    <x v="1"/>
    <x v="118"/>
    <n v="10"/>
    <n v="95.4"/>
    <x v="1"/>
    <x v="0"/>
    <n v="5.8"/>
    <n v="8"/>
    <x v="20"/>
    <s v="Yes"/>
  </r>
  <r>
    <x v="597"/>
    <n v="17"/>
    <x v="1"/>
    <x v="0"/>
    <x v="1"/>
    <x v="373"/>
    <n v="2"/>
    <n v="50.1"/>
    <x v="2"/>
    <x v="2"/>
    <n v="6.3"/>
    <n v="2"/>
    <x v="60"/>
    <s v="No"/>
  </r>
  <r>
    <x v="598"/>
    <n v="20"/>
    <x v="0"/>
    <x v="4"/>
    <x v="0"/>
    <x v="160"/>
    <n v="3"/>
    <n v="51.2"/>
    <x v="2"/>
    <x v="3"/>
    <n v="8.3000000000000007"/>
    <n v="8"/>
    <x v="46"/>
    <s v="No"/>
  </r>
  <r>
    <x v="599"/>
    <n v="19"/>
    <x v="0"/>
    <x v="0"/>
    <x v="2"/>
    <x v="374"/>
    <n v="10"/>
    <n v="67.3"/>
    <x v="1"/>
    <x v="2"/>
    <n v="6"/>
    <n v="6"/>
    <x v="13"/>
    <s v="No"/>
  </r>
  <r>
    <x v="600"/>
    <n v="18"/>
    <x v="1"/>
    <x v="3"/>
    <x v="0"/>
    <x v="81"/>
    <n v="10"/>
    <n v="88.7"/>
    <x v="2"/>
    <x v="3"/>
    <n v="8"/>
    <n v="6"/>
    <x v="7"/>
    <s v="No"/>
  </r>
  <r>
    <x v="601"/>
    <n v="27"/>
    <x v="1"/>
    <x v="3"/>
    <x v="0"/>
    <x v="375"/>
    <n v="2"/>
    <n v="52.4"/>
    <x v="0"/>
    <x v="0"/>
    <n v="6.5"/>
    <n v="7"/>
    <x v="26"/>
    <s v="Yes"/>
  </r>
  <r>
    <x v="602"/>
    <n v="18"/>
    <x v="0"/>
    <x v="2"/>
    <x v="1"/>
    <x v="345"/>
    <n v="5"/>
    <n v="68.8"/>
    <x v="2"/>
    <x v="1"/>
    <n v="7.3"/>
    <n v="1"/>
    <x v="48"/>
    <s v="Yes"/>
  </r>
  <r>
    <x v="603"/>
    <n v="21"/>
    <x v="1"/>
    <x v="8"/>
    <x v="2"/>
    <x v="252"/>
    <n v="5"/>
    <n v="78.7"/>
    <x v="2"/>
    <x v="3"/>
    <n v="6.7"/>
    <n v="7"/>
    <x v="41"/>
    <s v="Yes"/>
  </r>
  <r>
    <x v="604"/>
    <n v="20"/>
    <x v="0"/>
    <x v="7"/>
    <x v="0"/>
    <x v="313"/>
    <n v="6"/>
    <n v="55.9"/>
    <x v="1"/>
    <x v="4"/>
    <n v="2.8"/>
    <n v="1"/>
    <x v="36"/>
    <s v="No"/>
  </r>
  <r>
    <x v="605"/>
    <n v="23"/>
    <x v="0"/>
    <x v="0"/>
    <x v="2"/>
    <x v="33"/>
    <n v="5"/>
    <n v="78.099999999999994"/>
    <x v="1"/>
    <x v="1"/>
    <n v="6.6"/>
    <n v="3"/>
    <x v="42"/>
    <s v="No"/>
  </r>
  <r>
    <x v="606"/>
    <n v="24"/>
    <x v="0"/>
    <x v="6"/>
    <x v="1"/>
    <x v="376"/>
    <n v="10"/>
    <n v="94.5"/>
    <x v="2"/>
    <x v="3"/>
    <n v="1.5"/>
    <n v="6"/>
    <x v="60"/>
    <s v="No"/>
  </r>
  <r>
    <x v="607"/>
    <n v="21"/>
    <x v="1"/>
    <x v="7"/>
    <x v="1"/>
    <x v="197"/>
    <n v="5"/>
    <n v="89.7"/>
    <x v="2"/>
    <x v="3"/>
    <n v="3.5"/>
    <n v="10"/>
    <x v="53"/>
    <s v="Yes"/>
  </r>
  <r>
    <x v="608"/>
    <n v="21"/>
    <x v="0"/>
    <x v="7"/>
    <x v="1"/>
    <x v="142"/>
    <n v="3"/>
    <n v="88.3"/>
    <x v="2"/>
    <x v="1"/>
    <n v="2.5"/>
    <n v="9"/>
    <x v="56"/>
    <s v="Yes"/>
  </r>
  <r>
    <x v="609"/>
    <n v="19"/>
    <x v="0"/>
    <x v="5"/>
    <x v="2"/>
    <x v="306"/>
    <n v="6"/>
    <n v="63.6"/>
    <x v="0"/>
    <x v="0"/>
    <n v="7.7"/>
    <n v="7"/>
    <x v="8"/>
    <s v="No"/>
  </r>
  <r>
    <x v="610"/>
    <n v="24"/>
    <x v="1"/>
    <x v="4"/>
    <x v="0"/>
    <x v="311"/>
    <n v="7"/>
    <n v="56.7"/>
    <x v="0"/>
    <x v="3"/>
    <n v="0.4"/>
    <n v="4"/>
    <x v="64"/>
    <s v="Yes"/>
  </r>
  <r>
    <x v="611"/>
    <n v="24"/>
    <x v="1"/>
    <x v="4"/>
    <x v="3"/>
    <x v="377"/>
    <n v="2"/>
    <n v="55.2"/>
    <x v="2"/>
    <x v="0"/>
    <n v="1"/>
    <n v="8"/>
    <x v="58"/>
    <s v="Yes"/>
  </r>
  <r>
    <x v="612"/>
    <n v="17"/>
    <x v="0"/>
    <x v="1"/>
    <x v="0"/>
    <x v="242"/>
    <n v="9"/>
    <n v="58.5"/>
    <x v="1"/>
    <x v="4"/>
    <n v="7.2"/>
    <n v="3"/>
    <x v="59"/>
    <s v="Yes"/>
  </r>
  <r>
    <x v="613"/>
    <n v="19"/>
    <x v="1"/>
    <x v="3"/>
    <x v="0"/>
    <x v="378"/>
    <n v="7"/>
    <n v="53.6"/>
    <x v="2"/>
    <x v="2"/>
    <n v="4.0999999999999996"/>
    <n v="9"/>
    <x v="54"/>
    <s v="No"/>
  </r>
  <r>
    <x v="614"/>
    <n v="17"/>
    <x v="0"/>
    <x v="6"/>
    <x v="2"/>
    <x v="379"/>
    <n v="6"/>
    <n v="72.900000000000006"/>
    <x v="1"/>
    <x v="3"/>
    <n v="5.4"/>
    <n v="8"/>
    <x v="10"/>
    <s v="No"/>
  </r>
  <r>
    <x v="615"/>
    <n v="26"/>
    <x v="1"/>
    <x v="1"/>
    <x v="0"/>
    <x v="380"/>
    <n v="8"/>
    <n v="65.400000000000006"/>
    <x v="2"/>
    <x v="1"/>
    <n v="0.4"/>
    <n v="8"/>
    <x v="12"/>
    <s v="No"/>
  </r>
  <r>
    <x v="616"/>
    <n v="24"/>
    <x v="1"/>
    <x v="2"/>
    <x v="0"/>
    <x v="381"/>
    <n v="4"/>
    <n v="83.7"/>
    <x v="1"/>
    <x v="1"/>
    <n v="6.7"/>
    <n v="4"/>
    <x v="41"/>
    <s v="Yes"/>
  </r>
  <r>
    <x v="617"/>
    <n v="22"/>
    <x v="1"/>
    <x v="6"/>
    <x v="0"/>
    <x v="274"/>
    <n v="5"/>
    <n v="83.9"/>
    <x v="0"/>
    <x v="4"/>
    <n v="0.2"/>
    <n v="9"/>
    <x v="28"/>
    <s v="Yes"/>
  </r>
  <r>
    <x v="618"/>
    <n v="25"/>
    <x v="1"/>
    <x v="5"/>
    <x v="2"/>
    <x v="179"/>
    <n v="7"/>
    <n v="85.5"/>
    <x v="0"/>
    <x v="1"/>
    <n v="2.7"/>
    <n v="7"/>
    <x v="60"/>
    <s v="Yes"/>
  </r>
  <r>
    <x v="619"/>
    <n v="22"/>
    <x v="0"/>
    <x v="1"/>
    <x v="1"/>
    <x v="9"/>
    <n v="7"/>
    <n v="70.3"/>
    <x v="1"/>
    <x v="0"/>
    <n v="6.7"/>
    <n v="9"/>
    <x v="21"/>
    <s v="Yes"/>
  </r>
  <r>
    <x v="620"/>
    <n v="18"/>
    <x v="1"/>
    <x v="2"/>
    <x v="1"/>
    <x v="382"/>
    <n v="6"/>
    <n v="88.9"/>
    <x v="1"/>
    <x v="4"/>
    <n v="4.4000000000000004"/>
    <n v="1"/>
    <x v="12"/>
    <s v="No"/>
  </r>
  <r>
    <x v="621"/>
    <n v="22"/>
    <x v="0"/>
    <x v="1"/>
    <x v="1"/>
    <x v="383"/>
    <n v="10"/>
    <n v="72.5"/>
    <x v="1"/>
    <x v="3"/>
    <n v="8.5"/>
    <n v="5"/>
    <x v="47"/>
    <s v="Yes"/>
  </r>
  <r>
    <x v="622"/>
    <n v="26"/>
    <x v="1"/>
    <x v="0"/>
    <x v="2"/>
    <x v="383"/>
    <n v="5"/>
    <n v="78.900000000000006"/>
    <x v="2"/>
    <x v="4"/>
    <n v="1"/>
    <n v="3"/>
    <x v="22"/>
    <s v="Yes"/>
  </r>
  <r>
    <x v="623"/>
    <n v="21"/>
    <x v="1"/>
    <x v="3"/>
    <x v="0"/>
    <x v="134"/>
    <n v="2"/>
    <n v="75"/>
    <x v="0"/>
    <x v="1"/>
    <n v="6.3"/>
    <n v="4"/>
    <x v="41"/>
    <s v="No"/>
  </r>
  <r>
    <x v="624"/>
    <n v="26"/>
    <x v="0"/>
    <x v="2"/>
    <x v="0"/>
    <x v="58"/>
    <n v="5"/>
    <n v="72.7"/>
    <x v="0"/>
    <x v="1"/>
    <n v="5.9"/>
    <n v="1"/>
    <x v="12"/>
    <s v="No"/>
  </r>
  <r>
    <x v="625"/>
    <n v="21"/>
    <x v="1"/>
    <x v="5"/>
    <x v="0"/>
    <x v="132"/>
    <n v="3"/>
    <n v="53.5"/>
    <x v="2"/>
    <x v="4"/>
    <n v="1.9"/>
    <n v="4"/>
    <x v="42"/>
    <s v="Yes"/>
  </r>
  <r>
    <x v="626"/>
    <n v="23"/>
    <x v="1"/>
    <x v="6"/>
    <x v="2"/>
    <x v="121"/>
    <n v="7"/>
    <n v="96.4"/>
    <x v="1"/>
    <x v="1"/>
    <n v="5.5"/>
    <n v="6"/>
    <x v="21"/>
    <s v="No"/>
  </r>
  <r>
    <x v="627"/>
    <n v="20"/>
    <x v="1"/>
    <x v="6"/>
    <x v="0"/>
    <x v="271"/>
    <n v="3"/>
    <n v="57.7"/>
    <x v="0"/>
    <x v="1"/>
    <n v="8.5"/>
    <n v="10"/>
    <x v="40"/>
    <s v="Yes"/>
  </r>
  <r>
    <x v="628"/>
    <n v="25"/>
    <x v="1"/>
    <x v="2"/>
    <x v="1"/>
    <x v="384"/>
    <n v="10"/>
    <n v="65.900000000000006"/>
    <x v="2"/>
    <x v="1"/>
    <n v="0.9"/>
    <n v="4"/>
    <x v="27"/>
    <s v="No"/>
  </r>
  <r>
    <x v="629"/>
    <n v="27"/>
    <x v="0"/>
    <x v="8"/>
    <x v="2"/>
    <x v="1"/>
    <n v="2"/>
    <n v="90.7"/>
    <x v="0"/>
    <x v="2"/>
    <n v="7.4"/>
    <n v="2"/>
    <x v="10"/>
    <s v="Yes"/>
  </r>
  <r>
    <x v="630"/>
    <n v="23"/>
    <x v="1"/>
    <x v="0"/>
    <x v="0"/>
    <x v="385"/>
    <n v="2"/>
    <n v="59.1"/>
    <x v="1"/>
    <x v="1"/>
    <n v="1.1000000000000001"/>
    <n v="2"/>
    <x v="49"/>
    <s v="No"/>
  </r>
  <r>
    <x v="631"/>
    <n v="21"/>
    <x v="1"/>
    <x v="6"/>
    <x v="1"/>
    <x v="386"/>
    <n v="3"/>
    <n v="93.4"/>
    <x v="0"/>
    <x v="0"/>
    <n v="6"/>
    <n v="1"/>
    <x v="55"/>
    <s v="Yes"/>
  </r>
  <r>
    <x v="632"/>
    <n v="24"/>
    <x v="1"/>
    <x v="4"/>
    <x v="2"/>
    <x v="76"/>
    <n v="2"/>
    <n v="74.5"/>
    <x v="2"/>
    <x v="1"/>
    <n v="2.2999999999999998"/>
    <n v="4"/>
    <x v="35"/>
    <s v="Yes"/>
  </r>
  <r>
    <x v="633"/>
    <n v="21"/>
    <x v="1"/>
    <x v="5"/>
    <x v="2"/>
    <x v="308"/>
    <n v="6"/>
    <n v="62.8"/>
    <x v="2"/>
    <x v="0"/>
    <n v="4"/>
    <n v="8"/>
    <x v="47"/>
    <s v="No"/>
  </r>
  <r>
    <x v="634"/>
    <n v="19"/>
    <x v="1"/>
    <x v="5"/>
    <x v="2"/>
    <x v="270"/>
    <n v="3"/>
    <n v="73"/>
    <x v="1"/>
    <x v="1"/>
    <n v="2.5"/>
    <n v="10"/>
    <x v="40"/>
    <s v="No"/>
  </r>
  <r>
    <x v="635"/>
    <n v="21"/>
    <x v="1"/>
    <x v="1"/>
    <x v="1"/>
    <x v="67"/>
    <n v="5"/>
    <n v="92.1"/>
    <x v="0"/>
    <x v="1"/>
    <n v="8"/>
    <n v="5"/>
    <x v="57"/>
    <s v="Yes"/>
  </r>
  <r>
    <x v="636"/>
    <n v="21"/>
    <x v="0"/>
    <x v="8"/>
    <x v="2"/>
    <x v="274"/>
    <n v="3"/>
    <n v="65.3"/>
    <x v="1"/>
    <x v="1"/>
    <n v="6.1"/>
    <n v="3"/>
    <x v="42"/>
    <s v="Yes"/>
  </r>
  <r>
    <x v="637"/>
    <n v="24"/>
    <x v="0"/>
    <x v="2"/>
    <x v="1"/>
    <x v="387"/>
    <n v="2"/>
    <n v="85.3"/>
    <x v="2"/>
    <x v="3"/>
    <n v="1.6"/>
    <n v="9"/>
    <x v="41"/>
    <s v="Yes"/>
  </r>
  <r>
    <x v="638"/>
    <n v="27"/>
    <x v="0"/>
    <x v="6"/>
    <x v="2"/>
    <x v="388"/>
    <n v="4"/>
    <n v="57.7"/>
    <x v="2"/>
    <x v="1"/>
    <n v="2.6"/>
    <n v="8"/>
    <x v="1"/>
    <s v="No"/>
  </r>
  <r>
    <x v="639"/>
    <n v="19"/>
    <x v="0"/>
    <x v="6"/>
    <x v="1"/>
    <x v="63"/>
    <n v="2"/>
    <n v="77"/>
    <x v="0"/>
    <x v="0"/>
    <n v="0.7"/>
    <n v="10"/>
    <x v="3"/>
    <s v="No"/>
  </r>
  <r>
    <x v="640"/>
    <n v="17"/>
    <x v="1"/>
    <x v="6"/>
    <x v="1"/>
    <x v="389"/>
    <n v="3"/>
    <n v="69.900000000000006"/>
    <x v="1"/>
    <x v="4"/>
    <n v="4.9000000000000004"/>
    <n v="1"/>
    <x v="14"/>
    <s v="Yes"/>
  </r>
  <r>
    <x v="641"/>
    <n v="26"/>
    <x v="1"/>
    <x v="2"/>
    <x v="0"/>
    <x v="380"/>
    <n v="2"/>
    <n v="82.2"/>
    <x v="2"/>
    <x v="3"/>
    <n v="1.8"/>
    <n v="3"/>
    <x v="2"/>
    <s v="Yes"/>
  </r>
  <r>
    <x v="642"/>
    <n v="27"/>
    <x v="0"/>
    <x v="2"/>
    <x v="0"/>
    <x v="312"/>
    <n v="7"/>
    <n v="70.599999999999994"/>
    <x v="1"/>
    <x v="2"/>
    <n v="0.2"/>
    <n v="9"/>
    <x v="45"/>
    <s v="No"/>
  </r>
  <r>
    <x v="643"/>
    <n v="26"/>
    <x v="0"/>
    <x v="0"/>
    <x v="2"/>
    <x v="309"/>
    <n v="10"/>
    <n v="74.5"/>
    <x v="1"/>
    <x v="3"/>
    <n v="7.5"/>
    <n v="7"/>
    <x v="9"/>
    <s v="Yes"/>
  </r>
  <r>
    <x v="644"/>
    <n v="21"/>
    <x v="0"/>
    <x v="7"/>
    <x v="2"/>
    <x v="249"/>
    <n v="7"/>
    <n v="88.1"/>
    <x v="1"/>
    <x v="1"/>
    <n v="4.9000000000000004"/>
    <n v="2"/>
    <x v="58"/>
    <s v="No"/>
  </r>
  <r>
    <x v="645"/>
    <n v="20"/>
    <x v="1"/>
    <x v="2"/>
    <x v="1"/>
    <x v="390"/>
    <n v="5"/>
    <n v="84"/>
    <x v="0"/>
    <x v="2"/>
    <n v="2.8"/>
    <n v="3"/>
    <x v="58"/>
    <s v="No"/>
  </r>
  <r>
    <x v="646"/>
    <n v="26"/>
    <x v="1"/>
    <x v="3"/>
    <x v="1"/>
    <x v="114"/>
    <n v="4"/>
    <n v="77.400000000000006"/>
    <x v="2"/>
    <x v="0"/>
    <n v="3.7"/>
    <n v="1"/>
    <x v="23"/>
    <s v="Yes"/>
  </r>
  <r>
    <x v="647"/>
    <n v="24"/>
    <x v="1"/>
    <x v="0"/>
    <x v="0"/>
    <x v="391"/>
    <n v="2"/>
    <n v="98.8"/>
    <x v="1"/>
    <x v="0"/>
    <n v="0.5"/>
    <n v="8"/>
    <x v="51"/>
    <s v="Yes"/>
  </r>
  <r>
    <x v="648"/>
    <n v="27"/>
    <x v="0"/>
    <x v="1"/>
    <x v="1"/>
    <x v="392"/>
    <n v="5"/>
    <n v="64.099999999999994"/>
    <x v="2"/>
    <x v="1"/>
    <n v="0.6"/>
    <n v="5"/>
    <x v="53"/>
    <s v="No"/>
  </r>
  <r>
    <x v="649"/>
    <n v="25"/>
    <x v="1"/>
    <x v="2"/>
    <x v="1"/>
    <x v="207"/>
    <n v="10"/>
    <n v="88.4"/>
    <x v="0"/>
    <x v="3"/>
    <n v="4"/>
    <n v="2"/>
    <x v="34"/>
    <s v="Yes"/>
  </r>
  <r>
    <x v="650"/>
    <n v="26"/>
    <x v="0"/>
    <x v="2"/>
    <x v="0"/>
    <x v="142"/>
    <n v="10"/>
    <n v="82.5"/>
    <x v="2"/>
    <x v="3"/>
    <n v="3.9"/>
    <n v="10"/>
    <x v="28"/>
    <s v="No"/>
  </r>
  <r>
    <x v="651"/>
    <n v="17"/>
    <x v="0"/>
    <x v="2"/>
    <x v="0"/>
    <x v="267"/>
    <n v="7"/>
    <n v="74.3"/>
    <x v="1"/>
    <x v="4"/>
    <n v="7.2"/>
    <n v="1"/>
    <x v="25"/>
    <s v="No"/>
  </r>
  <r>
    <x v="652"/>
    <n v="27"/>
    <x v="1"/>
    <x v="7"/>
    <x v="0"/>
    <x v="393"/>
    <n v="9"/>
    <n v="52.2"/>
    <x v="1"/>
    <x v="1"/>
    <n v="0.1"/>
    <n v="2"/>
    <x v="56"/>
    <s v="No"/>
  </r>
  <r>
    <x v="653"/>
    <n v="20"/>
    <x v="0"/>
    <x v="6"/>
    <x v="0"/>
    <x v="109"/>
    <n v="3"/>
    <n v="70.8"/>
    <x v="0"/>
    <x v="3"/>
    <n v="3.5"/>
    <n v="10"/>
    <x v="54"/>
    <s v="No"/>
  </r>
  <r>
    <x v="654"/>
    <n v="26"/>
    <x v="0"/>
    <x v="4"/>
    <x v="3"/>
    <x v="19"/>
    <n v="9"/>
    <n v="89.7"/>
    <x v="0"/>
    <x v="3"/>
    <n v="6.3"/>
    <n v="8"/>
    <x v="5"/>
    <s v="No"/>
  </r>
  <r>
    <x v="655"/>
    <n v="25"/>
    <x v="0"/>
    <x v="6"/>
    <x v="2"/>
    <x v="157"/>
    <n v="4"/>
    <n v="80.5"/>
    <x v="1"/>
    <x v="2"/>
    <n v="2.7"/>
    <n v="5"/>
    <x v="9"/>
    <s v="No"/>
  </r>
  <r>
    <x v="656"/>
    <n v="23"/>
    <x v="0"/>
    <x v="8"/>
    <x v="0"/>
    <x v="241"/>
    <n v="3"/>
    <n v="68.400000000000006"/>
    <x v="0"/>
    <x v="0"/>
    <n v="6.6"/>
    <n v="5"/>
    <x v="40"/>
    <s v="Yes"/>
  </r>
  <r>
    <x v="657"/>
    <n v="17"/>
    <x v="1"/>
    <x v="0"/>
    <x v="2"/>
    <x v="18"/>
    <n v="9"/>
    <n v="70"/>
    <x v="1"/>
    <x v="0"/>
    <n v="7.9"/>
    <n v="4"/>
    <x v="35"/>
    <s v="Yes"/>
  </r>
  <r>
    <x v="658"/>
    <n v="20"/>
    <x v="0"/>
    <x v="4"/>
    <x v="1"/>
    <x v="394"/>
    <n v="6"/>
    <n v="79.3"/>
    <x v="1"/>
    <x v="1"/>
    <n v="4.5"/>
    <n v="1"/>
    <x v="7"/>
    <s v="Yes"/>
  </r>
  <r>
    <x v="659"/>
    <n v="17"/>
    <x v="0"/>
    <x v="8"/>
    <x v="2"/>
    <x v="247"/>
    <n v="7"/>
    <n v="50.5"/>
    <x v="2"/>
    <x v="2"/>
    <n v="3.6"/>
    <n v="3"/>
    <x v="43"/>
    <s v="Yes"/>
  </r>
  <r>
    <x v="660"/>
    <n v="22"/>
    <x v="1"/>
    <x v="5"/>
    <x v="2"/>
    <x v="395"/>
    <n v="3"/>
    <n v="90.7"/>
    <x v="0"/>
    <x v="1"/>
    <n v="5"/>
    <n v="4"/>
    <x v="46"/>
    <s v="Yes"/>
  </r>
  <r>
    <x v="661"/>
    <n v="21"/>
    <x v="1"/>
    <x v="5"/>
    <x v="0"/>
    <x v="216"/>
    <n v="8"/>
    <n v="62.1"/>
    <x v="0"/>
    <x v="3"/>
    <n v="6.7"/>
    <n v="4"/>
    <x v="35"/>
    <s v="No"/>
  </r>
  <r>
    <x v="662"/>
    <n v="27"/>
    <x v="1"/>
    <x v="6"/>
    <x v="0"/>
    <x v="143"/>
    <n v="2"/>
    <n v="88.4"/>
    <x v="1"/>
    <x v="4"/>
    <n v="6.2"/>
    <n v="10"/>
    <x v="16"/>
    <s v="No"/>
  </r>
  <r>
    <x v="663"/>
    <n v="27"/>
    <x v="0"/>
    <x v="0"/>
    <x v="2"/>
    <x v="390"/>
    <n v="5"/>
    <n v="77.3"/>
    <x v="1"/>
    <x v="0"/>
    <n v="1"/>
    <n v="10"/>
    <x v="22"/>
    <s v="Yes"/>
  </r>
  <r>
    <x v="664"/>
    <n v="24"/>
    <x v="0"/>
    <x v="1"/>
    <x v="1"/>
    <x v="396"/>
    <n v="10"/>
    <n v="92.6"/>
    <x v="2"/>
    <x v="4"/>
    <n v="7"/>
    <n v="5"/>
    <x v="45"/>
    <s v="No"/>
  </r>
  <r>
    <x v="665"/>
    <n v="20"/>
    <x v="1"/>
    <x v="8"/>
    <x v="1"/>
    <x v="317"/>
    <n v="5"/>
    <n v="62.7"/>
    <x v="2"/>
    <x v="1"/>
    <n v="8.6"/>
    <n v="4"/>
    <x v="14"/>
    <s v="No"/>
  </r>
  <r>
    <x v="666"/>
    <n v="17"/>
    <x v="1"/>
    <x v="5"/>
    <x v="2"/>
    <x v="397"/>
    <n v="6"/>
    <n v="53"/>
    <x v="1"/>
    <x v="2"/>
    <n v="1.5"/>
    <n v="6"/>
    <x v="46"/>
    <s v="Yes"/>
  </r>
  <r>
    <x v="667"/>
    <n v="17"/>
    <x v="1"/>
    <x v="6"/>
    <x v="1"/>
    <x v="53"/>
    <n v="3"/>
    <n v="69.599999999999994"/>
    <x v="2"/>
    <x v="3"/>
    <n v="4.5"/>
    <n v="3"/>
    <x v="37"/>
    <s v="No"/>
  </r>
  <r>
    <x v="668"/>
    <n v="21"/>
    <x v="1"/>
    <x v="8"/>
    <x v="2"/>
    <x v="398"/>
    <n v="5"/>
    <n v="86.1"/>
    <x v="0"/>
    <x v="2"/>
    <n v="1.6"/>
    <n v="9"/>
    <x v="60"/>
    <s v="Yes"/>
  </r>
  <r>
    <x v="669"/>
    <n v="25"/>
    <x v="1"/>
    <x v="7"/>
    <x v="1"/>
    <x v="399"/>
    <n v="7"/>
    <n v="89.4"/>
    <x v="2"/>
    <x v="0"/>
    <n v="0.2"/>
    <n v="2"/>
    <x v="30"/>
    <s v="Yes"/>
  </r>
  <r>
    <x v="670"/>
    <n v="26"/>
    <x v="0"/>
    <x v="7"/>
    <x v="0"/>
    <x v="163"/>
    <n v="2"/>
    <n v="67.2"/>
    <x v="0"/>
    <x v="1"/>
    <n v="6.9"/>
    <n v="7"/>
    <x v="43"/>
    <s v="No"/>
  </r>
  <r>
    <x v="671"/>
    <n v="27"/>
    <x v="1"/>
    <x v="4"/>
    <x v="3"/>
    <x v="62"/>
    <n v="5"/>
    <n v="95"/>
    <x v="1"/>
    <x v="1"/>
    <n v="0.7"/>
    <n v="1"/>
    <x v="11"/>
    <s v="No"/>
  </r>
  <r>
    <x v="672"/>
    <n v="21"/>
    <x v="1"/>
    <x v="7"/>
    <x v="1"/>
    <x v="400"/>
    <n v="7"/>
    <n v="72.900000000000006"/>
    <x v="1"/>
    <x v="3"/>
    <n v="6.5"/>
    <n v="8"/>
    <x v="19"/>
    <s v="Yes"/>
  </r>
  <r>
    <x v="673"/>
    <n v="24"/>
    <x v="0"/>
    <x v="5"/>
    <x v="0"/>
    <x v="232"/>
    <n v="4"/>
    <n v="59.5"/>
    <x v="0"/>
    <x v="1"/>
    <n v="8"/>
    <n v="5"/>
    <x v="11"/>
    <s v="Yes"/>
  </r>
  <r>
    <x v="674"/>
    <n v="26"/>
    <x v="0"/>
    <x v="2"/>
    <x v="0"/>
    <x v="94"/>
    <n v="5"/>
    <n v="58.8"/>
    <x v="1"/>
    <x v="4"/>
    <n v="0.5"/>
    <n v="1"/>
    <x v="60"/>
    <s v="No"/>
  </r>
  <r>
    <x v="675"/>
    <n v="20"/>
    <x v="0"/>
    <x v="3"/>
    <x v="0"/>
    <x v="84"/>
    <n v="7"/>
    <n v="52.2"/>
    <x v="0"/>
    <x v="4"/>
    <n v="8.5"/>
    <n v="1"/>
    <x v="51"/>
    <s v="Yes"/>
  </r>
  <r>
    <x v="676"/>
    <n v="26"/>
    <x v="0"/>
    <x v="6"/>
    <x v="2"/>
    <x v="47"/>
    <n v="7"/>
    <n v="64.2"/>
    <x v="0"/>
    <x v="3"/>
    <n v="6.1"/>
    <n v="4"/>
    <x v="15"/>
    <s v="No"/>
  </r>
  <r>
    <x v="677"/>
    <n v="25"/>
    <x v="1"/>
    <x v="3"/>
    <x v="1"/>
    <x v="41"/>
    <n v="2"/>
    <n v="79.8"/>
    <x v="1"/>
    <x v="0"/>
    <n v="8.8000000000000007"/>
    <n v="9"/>
    <x v="37"/>
    <s v="No"/>
  </r>
  <r>
    <x v="678"/>
    <n v="23"/>
    <x v="1"/>
    <x v="4"/>
    <x v="2"/>
    <x v="401"/>
    <n v="4"/>
    <n v="86.5"/>
    <x v="2"/>
    <x v="2"/>
    <n v="0.1"/>
    <n v="2"/>
    <x v="39"/>
    <s v="Yes"/>
  </r>
  <r>
    <x v="679"/>
    <n v="18"/>
    <x v="1"/>
    <x v="2"/>
    <x v="1"/>
    <x v="402"/>
    <n v="7"/>
    <n v="97.3"/>
    <x v="0"/>
    <x v="3"/>
    <n v="6.2"/>
    <n v="1"/>
    <x v="16"/>
    <s v="Yes"/>
  </r>
  <r>
    <x v="680"/>
    <n v="18"/>
    <x v="1"/>
    <x v="2"/>
    <x v="1"/>
    <x v="36"/>
    <n v="6"/>
    <n v="59.8"/>
    <x v="2"/>
    <x v="1"/>
    <n v="7.5"/>
    <n v="6"/>
    <x v="50"/>
    <s v="No"/>
  </r>
  <r>
    <x v="681"/>
    <n v="23"/>
    <x v="0"/>
    <x v="1"/>
    <x v="1"/>
    <x v="141"/>
    <n v="3"/>
    <n v="77.400000000000006"/>
    <x v="0"/>
    <x v="2"/>
    <n v="4.0999999999999996"/>
    <n v="1"/>
    <x v="40"/>
    <s v="No"/>
  </r>
  <r>
    <x v="682"/>
    <n v="24"/>
    <x v="0"/>
    <x v="8"/>
    <x v="1"/>
    <x v="131"/>
    <n v="3"/>
    <n v="87.4"/>
    <x v="1"/>
    <x v="0"/>
    <n v="3.5"/>
    <n v="6"/>
    <x v="11"/>
    <s v="Yes"/>
  </r>
  <r>
    <x v="683"/>
    <n v="18"/>
    <x v="1"/>
    <x v="0"/>
    <x v="2"/>
    <x v="403"/>
    <n v="8"/>
    <n v="52.5"/>
    <x v="1"/>
    <x v="3"/>
    <n v="1.2"/>
    <n v="2"/>
    <x v="44"/>
    <s v="No"/>
  </r>
  <r>
    <x v="684"/>
    <n v="24"/>
    <x v="0"/>
    <x v="6"/>
    <x v="2"/>
    <x v="366"/>
    <n v="8"/>
    <n v="99.6"/>
    <x v="0"/>
    <x v="4"/>
    <n v="5.6"/>
    <n v="2"/>
    <x v="43"/>
    <s v="Yes"/>
  </r>
  <r>
    <x v="685"/>
    <n v="22"/>
    <x v="1"/>
    <x v="7"/>
    <x v="1"/>
    <x v="384"/>
    <n v="5"/>
    <n v="60.2"/>
    <x v="1"/>
    <x v="1"/>
    <n v="3.2"/>
    <n v="7"/>
    <x v="47"/>
    <s v="Yes"/>
  </r>
  <r>
    <x v="686"/>
    <n v="19"/>
    <x v="0"/>
    <x v="7"/>
    <x v="2"/>
    <x v="265"/>
    <n v="6"/>
    <n v="61.3"/>
    <x v="1"/>
    <x v="4"/>
    <n v="0.2"/>
    <n v="10"/>
    <x v="8"/>
    <s v="Yes"/>
  </r>
  <r>
    <x v="687"/>
    <n v="18"/>
    <x v="0"/>
    <x v="8"/>
    <x v="0"/>
    <x v="404"/>
    <n v="5"/>
    <n v="69.099999999999994"/>
    <x v="0"/>
    <x v="1"/>
    <n v="8.6"/>
    <n v="3"/>
    <x v="56"/>
    <s v="No"/>
  </r>
  <r>
    <x v="688"/>
    <n v="24"/>
    <x v="0"/>
    <x v="4"/>
    <x v="2"/>
    <x v="405"/>
    <n v="5"/>
    <n v="98.2"/>
    <x v="1"/>
    <x v="0"/>
    <n v="6.3"/>
    <n v="8"/>
    <x v="27"/>
    <s v="Yes"/>
  </r>
  <r>
    <x v="689"/>
    <n v="17"/>
    <x v="1"/>
    <x v="3"/>
    <x v="1"/>
    <x v="70"/>
    <n v="3"/>
    <n v="83.8"/>
    <x v="0"/>
    <x v="0"/>
    <n v="8"/>
    <n v="5"/>
    <x v="23"/>
    <s v="Yes"/>
  </r>
  <r>
    <x v="690"/>
    <n v="23"/>
    <x v="0"/>
    <x v="0"/>
    <x v="2"/>
    <x v="71"/>
    <n v="4"/>
    <n v="69.099999999999994"/>
    <x v="1"/>
    <x v="1"/>
    <n v="3.6"/>
    <n v="8"/>
    <x v="44"/>
    <s v="Yes"/>
  </r>
  <r>
    <x v="691"/>
    <n v="27"/>
    <x v="0"/>
    <x v="4"/>
    <x v="1"/>
    <x v="406"/>
    <n v="6"/>
    <n v="69.2"/>
    <x v="2"/>
    <x v="1"/>
    <n v="8.5"/>
    <n v="2"/>
    <x v="31"/>
    <s v="No"/>
  </r>
  <r>
    <x v="692"/>
    <n v="27"/>
    <x v="0"/>
    <x v="0"/>
    <x v="1"/>
    <x v="176"/>
    <n v="2"/>
    <n v="91.9"/>
    <x v="0"/>
    <x v="1"/>
    <n v="4.4000000000000004"/>
    <n v="9"/>
    <x v="44"/>
    <s v="No"/>
  </r>
  <r>
    <x v="693"/>
    <n v="19"/>
    <x v="1"/>
    <x v="5"/>
    <x v="2"/>
    <x v="90"/>
    <n v="3"/>
    <n v="66.3"/>
    <x v="2"/>
    <x v="1"/>
    <n v="2.4"/>
    <n v="1"/>
    <x v="64"/>
    <s v="No"/>
  </r>
  <r>
    <x v="694"/>
    <n v="18"/>
    <x v="0"/>
    <x v="8"/>
    <x v="2"/>
    <x v="407"/>
    <n v="3"/>
    <n v="55.7"/>
    <x v="2"/>
    <x v="1"/>
    <n v="0.3"/>
    <n v="8"/>
    <x v="12"/>
    <s v="Yes"/>
  </r>
  <r>
    <x v="695"/>
    <n v="24"/>
    <x v="0"/>
    <x v="1"/>
    <x v="1"/>
    <x v="408"/>
    <n v="3"/>
    <n v="78"/>
    <x v="1"/>
    <x v="3"/>
    <n v="8.1999999999999993"/>
    <n v="2"/>
    <x v="1"/>
    <s v="No"/>
  </r>
  <r>
    <x v="696"/>
    <n v="23"/>
    <x v="0"/>
    <x v="1"/>
    <x v="0"/>
    <x v="250"/>
    <n v="4"/>
    <n v="54.4"/>
    <x v="1"/>
    <x v="1"/>
    <n v="6.8"/>
    <n v="5"/>
    <x v="30"/>
    <s v="Yes"/>
  </r>
  <r>
    <x v="697"/>
    <n v="23"/>
    <x v="1"/>
    <x v="0"/>
    <x v="0"/>
    <x v="409"/>
    <n v="2"/>
    <n v="59.4"/>
    <x v="1"/>
    <x v="1"/>
    <n v="1.3"/>
    <n v="3"/>
    <x v="28"/>
    <s v="No"/>
  </r>
  <r>
    <x v="698"/>
    <n v="25"/>
    <x v="0"/>
    <x v="4"/>
    <x v="0"/>
    <x v="266"/>
    <n v="7"/>
    <n v="86.8"/>
    <x v="1"/>
    <x v="2"/>
    <n v="1.1000000000000001"/>
    <n v="3"/>
    <x v="64"/>
    <s v="Yes"/>
  </r>
  <r>
    <x v="699"/>
    <n v="20"/>
    <x v="1"/>
    <x v="5"/>
    <x v="0"/>
    <x v="405"/>
    <n v="8"/>
    <n v="88.3"/>
    <x v="1"/>
    <x v="0"/>
    <n v="8.1999999999999993"/>
    <n v="1"/>
    <x v="15"/>
    <s v="Yes"/>
  </r>
  <r>
    <x v="700"/>
    <n v="23"/>
    <x v="0"/>
    <x v="1"/>
    <x v="0"/>
    <x v="410"/>
    <n v="3"/>
    <n v="97.3"/>
    <x v="0"/>
    <x v="0"/>
    <n v="5.6"/>
    <n v="6"/>
    <x v="48"/>
    <s v="Yes"/>
  </r>
  <r>
    <x v="701"/>
    <n v="21"/>
    <x v="0"/>
    <x v="5"/>
    <x v="1"/>
    <x v="354"/>
    <n v="8"/>
    <n v="98.9"/>
    <x v="0"/>
    <x v="1"/>
    <n v="3.6"/>
    <n v="6"/>
    <x v="49"/>
    <s v="Yes"/>
  </r>
  <r>
    <x v="702"/>
    <n v="20"/>
    <x v="1"/>
    <x v="6"/>
    <x v="1"/>
    <x v="33"/>
    <n v="4"/>
    <n v="86.3"/>
    <x v="2"/>
    <x v="2"/>
    <n v="1.4"/>
    <n v="4"/>
    <x v="15"/>
    <s v="Yes"/>
  </r>
  <r>
    <x v="703"/>
    <n v="20"/>
    <x v="0"/>
    <x v="3"/>
    <x v="0"/>
    <x v="411"/>
    <n v="7"/>
    <n v="66.900000000000006"/>
    <x v="1"/>
    <x v="2"/>
    <n v="5.7"/>
    <n v="2"/>
    <x v="60"/>
    <s v="No"/>
  </r>
  <r>
    <x v="704"/>
    <n v="24"/>
    <x v="1"/>
    <x v="5"/>
    <x v="1"/>
    <x v="251"/>
    <n v="6"/>
    <n v="68.900000000000006"/>
    <x v="0"/>
    <x v="4"/>
    <n v="1.3"/>
    <n v="7"/>
    <x v="16"/>
    <s v="No"/>
  </r>
  <r>
    <x v="705"/>
    <n v="26"/>
    <x v="0"/>
    <x v="4"/>
    <x v="3"/>
    <x v="202"/>
    <n v="4"/>
    <n v="64.099999999999994"/>
    <x v="1"/>
    <x v="2"/>
    <n v="2.1"/>
    <n v="3"/>
    <x v="42"/>
    <s v="No"/>
  </r>
  <r>
    <x v="706"/>
    <n v="24"/>
    <x v="0"/>
    <x v="4"/>
    <x v="1"/>
    <x v="137"/>
    <n v="7"/>
    <n v="70.5"/>
    <x v="2"/>
    <x v="3"/>
    <n v="4.8"/>
    <n v="3"/>
    <x v="58"/>
    <s v="Yes"/>
  </r>
  <r>
    <x v="707"/>
    <n v="21"/>
    <x v="0"/>
    <x v="2"/>
    <x v="1"/>
    <x v="350"/>
    <n v="5"/>
    <n v="50.8"/>
    <x v="1"/>
    <x v="4"/>
    <n v="6.9"/>
    <n v="1"/>
    <x v="62"/>
    <s v="No"/>
  </r>
  <r>
    <x v="708"/>
    <n v="26"/>
    <x v="1"/>
    <x v="5"/>
    <x v="1"/>
    <x v="412"/>
    <n v="6"/>
    <n v="70.900000000000006"/>
    <x v="2"/>
    <x v="1"/>
    <n v="1.3"/>
    <n v="1"/>
    <x v="12"/>
    <s v="Yes"/>
  </r>
  <r>
    <x v="709"/>
    <n v="17"/>
    <x v="1"/>
    <x v="2"/>
    <x v="1"/>
    <x v="110"/>
    <n v="5"/>
    <n v="54.6"/>
    <x v="1"/>
    <x v="4"/>
    <n v="4.8"/>
    <n v="9"/>
    <x v="36"/>
    <s v="No"/>
  </r>
  <r>
    <x v="710"/>
    <n v="23"/>
    <x v="1"/>
    <x v="5"/>
    <x v="2"/>
    <x v="413"/>
    <n v="8"/>
    <n v="68"/>
    <x v="2"/>
    <x v="4"/>
    <n v="5.0999999999999996"/>
    <n v="10"/>
    <x v="43"/>
    <s v="No"/>
  </r>
  <r>
    <x v="711"/>
    <n v="26"/>
    <x v="1"/>
    <x v="0"/>
    <x v="2"/>
    <x v="28"/>
    <n v="7"/>
    <n v="65.5"/>
    <x v="2"/>
    <x v="3"/>
    <n v="6"/>
    <n v="8"/>
    <x v="32"/>
    <s v="No"/>
  </r>
  <r>
    <x v="712"/>
    <n v="25"/>
    <x v="1"/>
    <x v="7"/>
    <x v="2"/>
    <x v="19"/>
    <n v="7"/>
    <n v="64.7"/>
    <x v="0"/>
    <x v="0"/>
    <n v="4.5"/>
    <n v="7"/>
    <x v="32"/>
    <s v="Yes"/>
  </r>
  <r>
    <x v="713"/>
    <n v="18"/>
    <x v="0"/>
    <x v="8"/>
    <x v="2"/>
    <x v="414"/>
    <n v="4"/>
    <n v="91.3"/>
    <x v="1"/>
    <x v="2"/>
    <n v="7.3"/>
    <n v="3"/>
    <x v="3"/>
    <s v="Yes"/>
  </r>
  <r>
    <x v="714"/>
    <n v="26"/>
    <x v="0"/>
    <x v="0"/>
    <x v="1"/>
    <x v="415"/>
    <n v="8"/>
    <n v="74.900000000000006"/>
    <x v="1"/>
    <x v="0"/>
    <n v="3.5"/>
    <n v="1"/>
    <x v="30"/>
    <s v="No"/>
  </r>
  <r>
    <x v="715"/>
    <n v="26"/>
    <x v="0"/>
    <x v="6"/>
    <x v="2"/>
    <x v="179"/>
    <n v="3"/>
    <n v="69.400000000000006"/>
    <x v="0"/>
    <x v="1"/>
    <n v="4.7"/>
    <n v="8"/>
    <x v="43"/>
    <s v="No"/>
  </r>
  <r>
    <x v="716"/>
    <n v="27"/>
    <x v="0"/>
    <x v="6"/>
    <x v="2"/>
    <x v="416"/>
    <n v="9"/>
    <n v="82.3"/>
    <x v="2"/>
    <x v="3"/>
    <n v="3.8"/>
    <n v="4"/>
    <x v="53"/>
    <s v="No"/>
  </r>
  <r>
    <x v="717"/>
    <n v="20"/>
    <x v="0"/>
    <x v="7"/>
    <x v="2"/>
    <x v="417"/>
    <n v="6"/>
    <n v="79.8"/>
    <x v="0"/>
    <x v="2"/>
    <n v="4"/>
    <n v="8"/>
    <x v="62"/>
    <s v="No"/>
  </r>
  <r>
    <x v="718"/>
    <n v="26"/>
    <x v="0"/>
    <x v="0"/>
    <x v="1"/>
    <x v="194"/>
    <n v="5"/>
    <n v="91.4"/>
    <x v="1"/>
    <x v="1"/>
    <n v="1.9"/>
    <n v="1"/>
    <x v="49"/>
    <s v="No"/>
  </r>
  <r>
    <x v="719"/>
    <n v="17"/>
    <x v="0"/>
    <x v="8"/>
    <x v="1"/>
    <x v="109"/>
    <n v="10"/>
    <n v="90.2"/>
    <x v="2"/>
    <x v="1"/>
    <n v="1.7"/>
    <n v="4"/>
    <x v="31"/>
    <s v="Yes"/>
  </r>
  <r>
    <x v="720"/>
    <n v="19"/>
    <x v="1"/>
    <x v="0"/>
    <x v="0"/>
    <x v="307"/>
    <n v="2"/>
    <n v="72.599999999999994"/>
    <x v="0"/>
    <x v="2"/>
    <n v="3.8"/>
    <n v="5"/>
    <x v="4"/>
    <s v="No"/>
  </r>
  <r>
    <x v="721"/>
    <n v="27"/>
    <x v="0"/>
    <x v="8"/>
    <x v="2"/>
    <x v="369"/>
    <n v="4"/>
    <n v="81.099999999999994"/>
    <x v="0"/>
    <x v="4"/>
    <n v="4.5999999999999996"/>
    <n v="1"/>
    <x v="12"/>
    <s v="Yes"/>
  </r>
  <r>
    <x v="722"/>
    <n v="19"/>
    <x v="0"/>
    <x v="1"/>
    <x v="0"/>
    <x v="284"/>
    <n v="2"/>
    <n v="60.8"/>
    <x v="1"/>
    <x v="0"/>
    <n v="7"/>
    <n v="6"/>
    <x v="2"/>
    <s v="No"/>
  </r>
  <r>
    <x v="723"/>
    <n v="21"/>
    <x v="0"/>
    <x v="8"/>
    <x v="1"/>
    <x v="210"/>
    <n v="8"/>
    <n v="89.4"/>
    <x v="0"/>
    <x v="2"/>
    <n v="0.6"/>
    <n v="4"/>
    <x v="12"/>
    <s v="Yes"/>
  </r>
  <r>
    <x v="724"/>
    <n v="19"/>
    <x v="0"/>
    <x v="6"/>
    <x v="2"/>
    <x v="395"/>
    <n v="4"/>
    <n v="67.099999999999994"/>
    <x v="0"/>
    <x v="2"/>
    <n v="2.2000000000000002"/>
    <n v="7"/>
    <x v="18"/>
    <s v="No"/>
  </r>
  <r>
    <x v="725"/>
    <n v="25"/>
    <x v="1"/>
    <x v="8"/>
    <x v="2"/>
    <x v="418"/>
    <n v="10"/>
    <n v="98.3"/>
    <x v="2"/>
    <x v="3"/>
    <n v="1.5"/>
    <n v="8"/>
    <x v="42"/>
    <s v="No"/>
  </r>
  <r>
    <x v="726"/>
    <n v="19"/>
    <x v="0"/>
    <x v="3"/>
    <x v="1"/>
    <x v="399"/>
    <n v="7"/>
    <n v="59.7"/>
    <x v="1"/>
    <x v="4"/>
    <n v="6.9"/>
    <n v="7"/>
    <x v="18"/>
    <s v="No"/>
  </r>
  <r>
    <x v="727"/>
    <n v="22"/>
    <x v="1"/>
    <x v="0"/>
    <x v="1"/>
    <x v="419"/>
    <n v="4"/>
    <n v="85.7"/>
    <x v="2"/>
    <x v="1"/>
    <n v="4.7"/>
    <n v="10"/>
    <x v="3"/>
    <s v="Yes"/>
  </r>
  <r>
    <x v="728"/>
    <n v="20"/>
    <x v="1"/>
    <x v="6"/>
    <x v="2"/>
    <x v="420"/>
    <n v="6"/>
    <n v="58.5"/>
    <x v="2"/>
    <x v="1"/>
    <n v="8.1999999999999993"/>
    <n v="10"/>
    <x v="3"/>
    <s v="Yes"/>
  </r>
  <r>
    <x v="729"/>
    <n v="22"/>
    <x v="0"/>
    <x v="4"/>
    <x v="2"/>
    <x v="421"/>
    <n v="8"/>
    <n v="74.7"/>
    <x v="2"/>
    <x v="4"/>
    <n v="0.8"/>
    <n v="4"/>
    <x v="0"/>
    <s v="No"/>
  </r>
  <r>
    <x v="730"/>
    <n v="19"/>
    <x v="0"/>
    <x v="5"/>
    <x v="0"/>
    <x v="157"/>
    <n v="6"/>
    <n v="73.099999999999994"/>
    <x v="2"/>
    <x v="0"/>
    <n v="7.8"/>
    <n v="2"/>
    <x v="29"/>
    <s v="No"/>
  </r>
  <r>
    <x v="731"/>
    <n v="22"/>
    <x v="1"/>
    <x v="5"/>
    <x v="2"/>
    <x v="158"/>
    <n v="5"/>
    <n v="56.3"/>
    <x v="1"/>
    <x v="4"/>
    <n v="7.9"/>
    <n v="5"/>
    <x v="59"/>
    <s v="No"/>
  </r>
  <r>
    <x v="732"/>
    <n v="23"/>
    <x v="0"/>
    <x v="6"/>
    <x v="0"/>
    <x v="290"/>
    <n v="9"/>
    <n v="88.7"/>
    <x v="2"/>
    <x v="1"/>
    <n v="1.2"/>
    <n v="3"/>
    <x v="15"/>
    <s v="Yes"/>
  </r>
  <r>
    <x v="733"/>
    <n v="26"/>
    <x v="0"/>
    <x v="5"/>
    <x v="0"/>
    <x v="422"/>
    <n v="10"/>
    <n v="69.8"/>
    <x v="0"/>
    <x v="3"/>
    <n v="1.6"/>
    <n v="4"/>
    <x v="5"/>
    <s v="Yes"/>
  </r>
  <r>
    <x v="734"/>
    <n v="24"/>
    <x v="0"/>
    <x v="5"/>
    <x v="2"/>
    <x v="423"/>
    <n v="7"/>
    <n v="67.8"/>
    <x v="1"/>
    <x v="2"/>
    <n v="0.8"/>
    <n v="8"/>
    <x v="23"/>
    <s v="No"/>
  </r>
  <r>
    <x v="735"/>
    <n v="22"/>
    <x v="0"/>
    <x v="1"/>
    <x v="1"/>
    <x v="283"/>
    <n v="6"/>
    <n v="86"/>
    <x v="2"/>
    <x v="1"/>
    <n v="4"/>
    <n v="6"/>
    <x v="46"/>
    <s v="Yes"/>
  </r>
  <r>
    <x v="736"/>
    <n v="20"/>
    <x v="0"/>
    <x v="1"/>
    <x v="0"/>
    <x v="424"/>
    <n v="5"/>
    <n v="72.099999999999994"/>
    <x v="1"/>
    <x v="1"/>
    <n v="3.2"/>
    <n v="1"/>
    <x v="44"/>
    <s v="Yes"/>
  </r>
  <r>
    <x v="737"/>
    <n v="23"/>
    <x v="1"/>
    <x v="4"/>
    <x v="0"/>
    <x v="142"/>
    <n v="8"/>
    <n v="88.3"/>
    <x v="2"/>
    <x v="0"/>
    <n v="7.9"/>
    <n v="8"/>
    <x v="47"/>
    <s v="Yes"/>
  </r>
  <r>
    <x v="738"/>
    <n v="21"/>
    <x v="0"/>
    <x v="8"/>
    <x v="0"/>
    <x v="421"/>
    <n v="10"/>
    <n v="79.8"/>
    <x v="2"/>
    <x v="4"/>
    <n v="3.1"/>
    <n v="7"/>
    <x v="0"/>
    <s v="No"/>
  </r>
  <r>
    <x v="739"/>
    <n v="22"/>
    <x v="0"/>
    <x v="3"/>
    <x v="1"/>
    <x v="56"/>
    <n v="6"/>
    <n v="99.3"/>
    <x v="0"/>
    <x v="2"/>
    <n v="5.9"/>
    <n v="7"/>
    <x v="11"/>
    <s v="Yes"/>
  </r>
  <r>
    <x v="740"/>
    <n v="20"/>
    <x v="0"/>
    <x v="6"/>
    <x v="0"/>
    <x v="425"/>
    <n v="10"/>
    <n v="76.599999999999994"/>
    <x v="2"/>
    <x v="3"/>
    <n v="1.4"/>
    <n v="1"/>
    <x v="18"/>
    <s v="No"/>
  </r>
  <r>
    <x v="741"/>
    <n v="18"/>
    <x v="0"/>
    <x v="2"/>
    <x v="0"/>
    <x v="426"/>
    <n v="7"/>
    <n v="61.6"/>
    <x v="0"/>
    <x v="3"/>
    <n v="6.5"/>
    <n v="8"/>
    <x v="57"/>
    <s v="Yes"/>
  </r>
  <r>
    <x v="742"/>
    <n v="20"/>
    <x v="0"/>
    <x v="7"/>
    <x v="2"/>
    <x v="271"/>
    <n v="9"/>
    <n v="97.7"/>
    <x v="2"/>
    <x v="4"/>
    <n v="6"/>
    <n v="6"/>
    <x v="39"/>
    <s v="No"/>
  </r>
  <r>
    <x v="743"/>
    <n v="22"/>
    <x v="0"/>
    <x v="3"/>
    <x v="0"/>
    <x v="408"/>
    <n v="3"/>
    <n v="79.2"/>
    <x v="1"/>
    <x v="0"/>
    <n v="1.9"/>
    <n v="7"/>
    <x v="48"/>
    <s v="No"/>
  </r>
  <r>
    <x v="744"/>
    <n v="25"/>
    <x v="1"/>
    <x v="3"/>
    <x v="1"/>
    <x v="427"/>
    <n v="3"/>
    <n v="60.3"/>
    <x v="0"/>
    <x v="4"/>
    <n v="6.1"/>
    <n v="3"/>
    <x v="14"/>
    <s v="Yes"/>
  </r>
  <r>
    <x v="745"/>
    <n v="22"/>
    <x v="0"/>
    <x v="3"/>
    <x v="0"/>
    <x v="64"/>
    <n v="4"/>
    <n v="50.7"/>
    <x v="0"/>
    <x v="0"/>
    <n v="5.6"/>
    <n v="2"/>
    <x v="22"/>
    <s v="Yes"/>
  </r>
  <r>
    <x v="746"/>
    <n v="21"/>
    <x v="0"/>
    <x v="5"/>
    <x v="2"/>
    <x v="329"/>
    <n v="4"/>
    <n v="81.3"/>
    <x v="1"/>
    <x v="0"/>
    <n v="3"/>
    <n v="10"/>
    <x v="48"/>
    <s v="Yes"/>
  </r>
  <r>
    <x v="747"/>
    <n v="21"/>
    <x v="0"/>
    <x v="1"/>
    <x v="1"/>
    <x v="151"/>
    <n v="2"/>
    <n v="94.4"/>
    <x v="1"/>
    <x v="4"/>
    <n v="0.3"/>
    <n v="1"/>
    <x v="40"/>
    <s v="No"/>
  </r>
  <r>
    <x v="748"/>
    <n v="26"/>
    <x v="0"/>
    <x v="0"/>
    <x v="1"/>
    <x v="22"/>
    <n v="3"/>
    <n v="99.7"/>
    <x v="0"/>
    <x v="1"/>
    <n v="8.9"/>
    <n v="4"/>
    <x v="9"/>
    <s v="No"/>
  </r>
  <r>
    <x v="749"/>
    <n v="26"/>
    <x v="0"/>
    <x v="8"/>
    <x v="2"/>
    <x v="428"/>
    <n v="6"/>
    <n v="65.599999999999994"/>
    <x v="2"/>
    <x v="0"/>
    <n v="3.6"/>
    <n v="7"/>
    <x v="14"/>
    <s v="No"/>
  </r>
  <r>
    <x v="750"/>
    <n v="24"/>
    <x v="0"/>
    <x v="3"/>
    <x v="1"/>
    <x v="65"/>
    <n v="5"/>
    <n v="59.5"/>
    <x v="2"/>
    <x v="4"/>
    <n v="0.6"/>
    <n v="6"/>
    <x v="18"/>
    <s v="No"/>
  </r>
  <r>
    <x v="751"/>
    <n v="17"/>
    <x v="1"/>
    <x v="8"/>
    <x v="1"/>
    <x v="241"/>
    <n v="4"/>
    <n v="56.7"/>
    <x v="1"/>
    <x v="3"/>
    <n v="3"/>
    <n v="9"/>
    <x v="6"/>
    <s v="Yes"/>
  </r>
  <r>
    <x v="752"/>
    <n v="24"/>
    <x v="1"/>
    <x v="2"/>
    <x v="1"/>
    <x v="31"/>
    <n v="7"/>
    <n v="83"/>
    <x v="0"/>
    <x v="0"/>
    <n v="4.3"/>
    <n v="10"/>
    <x v="60"/>
    <s v="Yes"/>
  </r>
  <r>
    <x v="753"/>
    <n v="17"/>
    <x v="1"/>
    <x v="3"/>
    <x v="1"/>
    <x v="429"/>
    <n v="3"/>
    <n v="83.2"/>
    <x v="1"/>
    <x v="3"/>
    <n v="4.5"/>
    <n v="5"/>
    <x v="57"/>
    <s v="No"/>
  </r>
  <r>
    <x v="754"/>
    <n v="19"/>
    <x v="0"/>
    <x v="5"/>
    <x v="0"/>
    <x v="236"/>
    <n v="5"/>
    <n v="60.5"/>
    <x v="1"/>
    <x v="0"/>
    <n v="3.2"/>
    <n v="3"/>
    <x v="6"/>
    <s v="No"/>
  </r>
  <r>
    <x v="755"/>
    <n v="23"/>
    <x v="0"/>
    <x v="8"/>
    <x v="1"/>
    <x v="178"/>
    <n v="10"/>
    <n v="75.599999999999994"/>
    <x v="1"/>
    <x v="2"/>
    <n v="7.7"/>
    <n v="2"/>
    <x v="19"/>
    <s v="No"/>
  </r>
  <r>
    <x v="756"/>
    <n v="19"/>
    <x v="1"/>
    <x v="5"/>
    <x v="0"/>
    <x v="326"/>
    <n v="9"/>
    <n v="82.5"/>
    <x v="0"/>
    <x v="4"/>
    <n v="7.9"/>
    <n v="9"/>
    <x v="51"/>
    <s v="Yes"/>
  </r>
  <r>
    <x v="757"/>
    <n v="19"/>
    <x v="0"/>
    <x v="8"/>
    <x v="2"/>
    <x v="177"/>
    <n v="2"/>
    <n v="85.1"/>
    <x v="0"/>
    <x v="2"/>
    <n v="2.4"/>
    <n v="5"/>
    <x v="60"/>
    <s v="No"/>
  </r>
  <r>
    <x v="758"/>
    <n v="27"/>
    <x v="0"/>
    <x v="1"/>
    <x v="0"/>
    <x v="55"/>
    <n v="7"/>
    <n v="65.099999999999994"/>
    <x v="1"/>
    <x v="1"/>
    <n v="3.9"/>
    <n v="10"/>
    <x v="10"/>
    <s v="Yes"/>
  </r>
  <r>
    <x v="759"/>
    <n v="23"/>
    <x v="0"/>
    <x v="4"/>
    <x v="0"/>
    <x v="126"/>
    <n v="4"/>
    <n v="77.2"/>
    <x v="2"/>
    <x v="1"/>
    <n v="5.2"/>
    <n v="6"/>
    <x v="19"/>
    <s v="No"/>
  </r>
  <r>
    <x v="760"/>
    <n v="17"/>
    <x v="0"/>
    <x v="6"/>
    <x v="2"/>
    <x v="430"/>
    <n v="5"/>
    <n v="77.8"/>
    <x v="0"/>
    <x v="0"/>
    <n v="6.6"/>
    <n v="7"/>
    <x v="33"/>
    <s v="Yes"/>
  </r>
  <r>
    <x v="761"/>
    <n v="25"/>
    <x v="1"/>
    <x v="0"/>
    <x v="1"/>
    <x v="431"/>
    <n v="7"/>
    <n v="54.6"/>
    <x v="0"/>
    <x v="2"/>
    <n v="7.9"/>
    <n v="1"/>
    <x v="14"/>
    <s v="No"/>
  </r>
  <r>
    <x v="762"/>
    <n v="19"/>
    <x v="1"/>
    <x v="7"/>
    <x v="1"/>
    <x v="90"/>
    <n v="5"/>
    <n v="96.2"/>
    <x v="0"/>
    <x v="3"/>
    <n v="0.3"/>
    <n v="4"/>
    <x v="64"/>
    <s v="No"/>
  </r>
  <r>
    <x v="763"/>
    <n v="26"/>
    <x v="0"/>
    <x v="0"/>
    <x v="0"/>
    <x v="432"/>
    <n v="3"/>
    <n v="64.400000000000006"/>
    <x v="0"/>
    <x v="2"/>
    <n v="0.3"/>
    <n v="5"/>
    <x v="15"/>
    <s v="No"/>
  </r>
  <r>
    <x v="764"/>
    <n v="20"/>
    <x v="0"/>
    <x v="4"/>
    <x v="0"/>
    <x v="357"/>
    <n v="10"/>
    <n v="50"/>
    <x v="2"/>
    <x v="3"/>
    <n v="4.5"/>
    <n v="4"/>
    <x v="16"/>
    <s v="Yes"/>
  </r>
  <r>
    <x v="765"/>
    <n v="18"/>
    <x v="0"/>
    <x v="4"/>
    <x v="2"/>
    <x v="392"/>
    <n v="6"/>
    <n v="63.4"/>
    <x v="0"/>
    <x v="3"/>
    <n v="7.6"/>
    <n v="4"/>
    <x v="62"/>
    <s v="Yes"/>
  </r>
  <r>
    <x v="766"/>
    <n v="20"/>
    <x v="1"/>
    <x v="7"/>
    <x v="2"/>
    <x v="17"/>
    <n v="3"/>
    <n v="83.4"/>
    <x v="0"/>
    <x v="2"/>
    <n v="7.8"/>
    <n v="10"/>
    <x v="30"/>
    <s v="No"/>
  </r>
  <r>
    <x v="767"/>
    <n v="27"/>
    <x v="0"/>
    <x v="0"/>
    <x v="2"/>
    <x v="391"/>
    <n v="4"/>
    <n v="70.7"/>
    <x v="0"/>
    <x v="2"/>
    <n v="1.3"/>
    <n v="4"/>
    <x v="8"/>
    <s v="Yes"/>
  </r>
  <r>
    <x v="768"/>
    <n v="24"/>
    <x v="1"/>
    <x v="0"/>
    <x v="1"/>
    <x v="10"/>
    <n v="8"/>
    <n v="86.1"/>
    <x v="0"/>
    <x v="3"/>
    <n v="3.9"/>
    <n v="9"/>
    <x v="39"/>
    <s v="Yes"/>
  </r>
  <r>
    <x v="769"/>
    <n v="26"/>
    <x v="1"/>
    <x v="8"/>
    <x v="1"/>
    <x v="214"/>
    <n v="4"/>
    <n v="74.3"/>
    <x v="0"/>
    <x v="1"/>
    <n v="8"/>
    <n v="10"/>
    <x v="6"/>
    <s v="No"/>
  </r>
  <r>
    <x v="770"/>
    <n v="27"/>
    <x v="0"/>
    <x v="1"/>
    <x v="0"/>
    <x v="106"/>
    <n v="8"/>
    <n v="76.400000000000006"/>
    <x v="2"/>
    <x v="1"/>
    <n v="4.8"/>
    <n v="7"/>
    <x v="44"/>
    <s v="Yes"/>
  </r>
  <r>
    <x v="771"/>
    <n v="22"/>
    <x v="0"/>
    <x v="0"/>
    <x v="1"/>
    <x v="433"/>
    <n v="7"/>
    <n v="63.2"/>
    <x v="0"/>
    <x v="1"/>
    <n v="8.3000000000000007"/>
    <n v="9"/>
    <x v="30"/>
    <s v="No"/>
  </r>
  <r>
    <x v="772"/>
    <n v="25"/>
    <x v="1"/>
    <x v="7"/>
    <x v="2"/>
    <x v="295"/>
    <n v="5"/>
    <n v="74.099999999999994"/>
    <x v="1"/>
    <x v="0"/>
    <n v="0.8"/>
    <n v="3"/>
    <x v="50"/>
    <s v="No"/>
  </r>
  <r>
    <x v="773"/>
    <n v="19"/>
    <x v="1"/>
    <x v="4"/>
    <x v="2"/>
    <x v="67"/>
    <n v="10"/>
    <n v="55.2"/>
    <x v="0"/>
    <x v="1"/>
    <n v="6.9"/>
    <n v="9"/>
    <x v="5"/>
    <s v="Yes"/>
  </r>
  <r>
    <x v="774"/>
    <n v="20"/>
    <x v="0"/>
    <x v="7"/>
    <x v="0"/>
    <x v="94"/>
    <n v="8"/>
    <n v="67.599999999999994"/>
    <x v="2"/>
    <x v="0"/>
    <n v="7.4"/>
    <n v="9"/>
    <x v="42"/>
    <s v="Yes"/>
  </r>
  <r>
    <x v="775"/>
    <n v="18"/>
    <x v="0"/>
    <x v="2"/>
    <x v="1"/>
    <x v="109"/>
    <n v="10"/>
    <n v="64.5"/>
    <x v="2"/>
    <x v="2"/>
    <n v="2.7"/>
    <n v="9"/>
    <x v="52"/>
    <s v="No"/>
  </r>
  <r>
    <x v="776"/>
    <n v="26"/>
    <x v="1"/>
    <x v="1"/>
    <x v="1"/>
    <x v="324"/>
    <n v="4"/>
    <n v="63"/>
    <x v="1"/>
    <x v="3"/>
    <n v="8"/>
    <n v="2"/>
    <x v="29"/>
    <s v="No"/>
  </r>
  <r>
    <x v="777"/>
    <n v="19"/>
    <x v="1"/>
    <x v="6"/>
    <x v="0"/>
    <x v="434"/>
    <n v="10"/>
    <n v="55.9"/>
    <x v="0"/>
    <x v="3"/>
    <n v="8.4"/>
    <n v="10"/>
    <x v="11"/>
    <s v="Yes"/>
  </r>
  <r>
    <x v="778"/>
    <n v="21"/>
    <x v="0"/>
    <x v="0"/>
    <x v="1"/>
    <x v="355"/>
    <n v="3"/>
    <n v="59.8"/>
    <x v="2"/>
    <x v="3"/>
    <n v="6.6"/>
    <n v="10"/>
    <x v="64"/>
    <s v="Yes"/>
  </r>
  <r>
    <x v="779"/>
    <n v="18"/>
    <x v="0"/>
    <x v="3"/>
    <x v="0"/>
    <x v="3"/>
    <n v="8"/>
    <n v="86.4"/>
    <x v="2"/>
    <x v="4"/>
    <n v="7.8"/>
    <n v="5"/>
    <x v="1"/>
    <s v="Yes"/>
  </r>
  <r>
    <x v="780"/>
    <n v="25"/>
    <x v="1"/>
    <x v="6"/>
    <x v="2"/>
    <x v="278"/>
    <n v="9"/>
    <n v="53.8"/>
    <x v="0"/>
    <x v="2"/>
    <n v="1.6"/>
    <n v="6"/>
    <x v="47"/>
    <s v="No"/>
  </r>
  <r>
    <x v="781"/>
    <n v="17"/>
    <x v="1"/>
    <x v="3"/>
    <x v="1"/>
    <x v="226"/>
    <n v="10"/>
    <n v="55.9"/>
    <x v="1"/>
    <x v="4"/>
    <n v="6.1"/>
    <n v="6"/>
    <x v="5"/>
    <s v="Yes"/>
  </r>
  <r>
    <x v="782"/>
    <n v="22"/>
    <x v="1"/>
    <x v="8"/>
    <x v="2"/>
    <x v="435"/>
    <n v="2"/>
    <n v="56.5"/>
    <x v="1"/>
    <x v="2"/>
    <n v="5.8"/>
    <n v="5"/>
    <x v="36"/>
    <s v="Yes"/>
  </r>
  <r>
    <x v="783"/>
    <n v="17"/>
    <x v="0"/>
    <x v="2"/>
    <x v="1"/>
    <x v="217"/>
    <n v="5"/>
    <n v="65.2"/>
    <x v="0"/>
    <x v="0"/>
    <n v="7.9"/>
    <n v="3"/>
    <x v="57"/>
    <s v="Yes"/>
  </r>
  <r>
    <x v="784"/>
    <n v="26"/>
    <x v="0"/>
    <x v="0"/>
    <x v="2"/>
    <x v="424"/>
    <n v="8"/>
    <n v="70.7"/>
    <x v="0"/>
    <x v="3"/>
    <n v="0.6"/>
    <n v="1"/>
    <x v="32"/>
    <s v="Yes"/>
  </r>
  <r>
    <x v="785"/>
    <n v="17"/>
    <x v="1"/>
    <x v="1"/>
    <x v="0"/>
    <x v="28"/>
    <n v="7"/>
    <n v="95.3"/>
    <x v="0"/>
    <x v="3"/>
    <n v="8.6"/>
    <n v="9"/>
    <x v="55"/>
    <s v="Yes"/>
  </r>
  <r>
    <x v="786"/>
    <n v="17"/>
    <x v="0"/>
    <x v="6"/>
    <x v="0"/>
    <x v="303"/>
    <n v="9"/>
    <n v="56.5"/>
    <x v="1"/>
    <x v="0"/>
    <n v="1.2"/>
    <n v="3"/>
    <x v="28"/>
    <s v="Yes"/>
  </r>
  <r>
    <x v="787"/>
    <n v="25"/>
    <x v="1"/>
    <x v="0"/>
    <x v="0"/>
    <x v="319"/>
    <n v="8"/>
    <n v="71.099999999999994"/>
    <x v="2"/>
    <x v="0"/>
    <n v="6.1"/>
    <n v="4"/>
    <x v="46"/>
    <s v="No"/>
  </r>
  <r>
    <x v="788"/>
    <n v="18"/>
    <x v="0"/>
    <x v="5"/>
    <x v="1"/>
    <x v="436"/>
    <n v="9"/>
    <n v="67.099999999999994"/>
    <x v="1"/>
    <x v="2"/>
    <n v="1.2"/>
    <n v="9"/>
    <x v="0"/>
    <s v="Yes"/>
  </r>
  <r>
    <x v="789"/>
    <n v="23"/>
    <x v="1"/>
    <x v="1"/>
    <x v="0"/>
    <x v="245"/>
    <n v="4"/>
    <n v="74.2"/>
    <x v="1"/>
    <x v="1"/>
    <n v="7.6"/>
    <n v="6"/>
    <x v="52"/>
    <s v="No"/>
  </r>
  <r>
    <x v="790"/>
    <n v="18"/>
    <x v="1"/>
    <x v="1"/>
    <x v="0"/>
    <x v="416"/>
    <n v="9"/>
    <n v="90.8"/>
    <x v="1"/>
    <x v="4"/>
    <n v="3"/>
    <n v="9"/>
    <x v="4"/>
    <s v="Yes"/>
  </r>
  <r>
    <x v="791"/>
    <n v="27"/>
    <x v="0"/>
    <x v="3"/>
    <x v="1"/>
    <x v="413"/>
    <n v="5"/>
    <n v="90.6"/>
    <x v="2"/>
    <x v="0"/>
    <n v="5.8"/>
    <n v="3"/>
    <x v="32"/>
    <s v="No"/>
  </r>
  <r>
    <x v="792"/>
    <n v="20"/>
    <x v="1"/>
    <x v="5"/>
    <x v="2"/>
    <x v="164"/>
    <n v="2"/>
    <n v="63.7"/>
    <x v="2"/>
    <x v="1"/>
    <n v="7.5"/>
    <n v="2"/>
    <x v="26"/>
    <s v="Yes"/>
  </r>
  <r>
    <x v="793"/>
    <n v="24"/>
    <x v="0"/>
    <x v="1"/>
    <x v="1"/>
    <x v="402"/>
    <n v="7"/>
    <n v="86.5"/>
    <x v="2"/>
    <x v="2"/>
    <n v="5.9"/>
    <n v="8"/>
    <x v="39"/>
    <s v="Yes"/>
  </r>
  <r>
    <x v="794"/>
    <n v="18"/>
    <x v="0"/>
    <x v="0"/>
    <x v="2"/>
    <x v="134"/>
    <n v="4"/>
    <n v="63.6"/>
    <x v="0"/>
    <x v="3"/>
    <n v="0.1"/>
    <n v="1"/>
    <x v="61"/>
    <s v="No"/>
  </r>
  <r>
    <x v="795"/>
    <n v="21"/>
    <x v="0"/>
    <x v="3"/>
    <x v="1"/>
    <x v="305"/>
    <n v="10"/>
    <n v="73.8"/>
    <x v="2"/>
    <x v="3"/>
    <n v="5.0999999999999996"/>
    <n v="5"/>
    <x v="28"/>
    <s v="Yes"/>
  </r>
  <r>
    <x v="796"/>
    <n v="23"/>
    <x v="0"/>
    <x v="2"/>
    <x v="1"/>
    <x v="60"/>
    <n v="5"/>
    <n v="53.6"/>
    <x v="2"/>
    <x v="3"/>
    <n v="0.1"/>
    <n v="2"/>
    <x v="40"/>
    <s v="No"/>
  </r>
  <r>
    <x v="797"/>
    <n v="18"/>
    <x v="0"/>
    <x v="3"/>
    <x v="1"/>
    <x v="330"/>
    <n v="10"/>
    <n v="57.5"/>
    <x v="2"/>
    <x v="4"/>
    <n v="5"/>
    <n v="10"/>
    <x v="21"/>
    <s v="No"/>
  </r>
  <r>
    <x v="798"/>
    <n v="25"/>
    <x v="0"/>
    <x v="2"/>
    <x v="1"/>
    <x v="32"/>
    <n v="6"/>
    <n v="66.400000000000006"/>
    <x v="2"/>
    <x v="0"/>
    <n v="1.5"/>
    <n v="6"/>
    <x v="38"/>
    <s v="No"/>
  </r>
  <r>
    <x v="799"/>
    <n v="24"/>
    <x v="0"/>
    <x v="3"/>
    <x v="0"/>
    <x v="165"/>
    <n v="9"/>
    <n v="94.9"/>
    <x v="0"/>
    <x v="1"/>
    <n v="7.9"/>
    <n v="1"/>
    <x v="4"/>
    <s v="Yes"/>
  </r>
  <r>
    <x v="800"/>
    <n v="24"/>
    <x v="0"/>
    <x v="2"/>
    <x v="0"/>
    <x v="394"/>
    <n v="10"/>
    <n v="92.1"/>
    <x v="0"/>
    <x v="0"/>
    <n v="3.2"/>
    <n v="7"/>
    <x v="0"/>
    <s v="Yes"/>
  </r>
  <r>
    <x v="801"/>
    <n v="27"/>
    <x v="0"/>
    <x v="2"/>
    <x v="0"/>
    <x v="56"/>
    <n v="4"/>
    <n v="83.2"/>
    <x v="2"/>
    <x v="2"/>
    <n v="8.6999999999999993"/>
    <n v="3"/>
    <x v="12"/>
    <s v="Yes"/>
  </r>
  <r>
    <x v="802"/>
    <n v="21"/>
    <x v="1"/>
    <x v="2"/>
    <x v="1"/>
    <x v="437"/>
    <n v="5"/>
    <n v="55.3"/>
    <x v="2"/>
    <x v="1"/>
    <n v="3.7"/>
    <n v="3"/>
    <x v="36"/>
    <s v="No"/>
  </r>
  <r>
    <x v="803"/>
    <n v="20"/>
    <x v="1"/>
    <x v="1"/>
    <x v="1"/>
    <x v="438"/>
    <n v="9"/>
    <n v="63.8"/>
    <x v="0"/>
    <x v="4"/>
    <n v="7.8"/>
    <n v="7"/>
    <x v="56"/>
    <s v="Yes"/>
  </r>
  <r>
    <x v="804"/>
    <n v="22"/>
    <x v="1"/>
    <x v="2"/>
    <x v="0"/>
    <x v="251"/>
    <n v="10"/>
    <n v="99"/>
    <x v="2"/>
    <x v="3"/>
    <n v="1.9"/>
    <n v="5"/>
    <x v="21"/>
    <s v="No"/>
  </r>
  <r>
    <x v="805"/>
    <n v="23"/>
    <x v="0"/>
    <x v="2"/>
    <x v="1"/>
    <x v="241"/>
    <n v="10"/>
    <n v="50.3"/>
    <x v="0"/>
    <x v="2"/>
    <n v="2.6"/>
    <n v="5"/>
    <x v="45"/>
    <s v="No"/>
  </r>
  <r>
    <x v="806"/>
    <n v="18"/>
    <x v="1"/>
    <x v="5"/>
    <x v="0"/>
    <x v="439"/>
    <n v="4"/>
    <n v="95.2"/>
    <x v="0"/>
    <x v="4"/>
    <n v="5.5"/>
    <n v="3"/>
    <x v="45"/>
    <s v="No"/>
  </r>
  <r>
    <x v="807"/>
    <n v="19"/>
    <x v="0"/>
    <x v="7"/>
    <x v="0"/>
    <x v="440"/>
    <n v="7"/>
    <n v="65.5"/>
    <x v="2"/>
    <x v="1"/>
    <n v="8.6999999999999993"/>
    <n v="1"/>
    <x v="11"/>
    <s v="Yes"/>
  </r>
  <r>
    <x v="808"/>
    <n v="17"/>
    <x v="1"/>
    <x v="3"/>
    <x v="1"/>
    <x v="218"/>
    <n v="4"/>
    <n v="93.1"/>
    <x v="1"/>
    <x v="4"/>
    <n v="8.6"/>
    <n v="5"/>
    <x v="42"/>
    <s v="Yes"/>
  </r>
  <r>
    <x v="809"/>
    <n v="24"/>
    <x v="1"/>
    <x v="0"/>
    <x v="2"/>
    <x v="40"/>
    <n v="9"/>
    <n v="54.1"/>
    <x v="0"/>
    <x v="0"/>
    <n v="5.8"/>
    <n v="5"/>
    <x v="44"/>
    <s v="No"/>
  </r>
  <r>
    <x v="810"/>
    <n v="22"/>
    <x v="0"/>
    <x v="2"/>
    <x v="0"/>
    <x v="121"/>
    <n v="2"/>
    <n v="79.900000000000006"/>
    <x v="1"/>
    <x v="2"/>
    <n v="2.8"/>
    <n v="10"/>
    <x v="50"/>
    <s v="No"/>
  </r>
  <r>
    <x v="811"/>
    <n v="27"/>
    <x v="1"/>
    <x v="5"/>
    <x v="0"/>
    <x v="441"/>
    <n v="10"/>
    <n v="76.8"/>
    <x v="2"/>
    <x v="4"/>
    <n v="5.5"/>
    <n v="4"/>
    <x v="1"/>
    <s v="Yes"/>
  </r>
  <r>
    <x v="812"/>
    <n v="26"/>
    <x v="0"/>
    <x v="1"/>
    <x v="0"/>
    <x v="110"/>
    <n v="9"/>
    <n v="61.6"/>
    <x v="1"/>
    <x v="1"/>
    <n v="4.0999999999999996"/>
    <n v="4"/>
    <x v="46"/>
    <s v="Yes"/>
  </r>
  <r>
    <x v="813"/>
    <n v="25"/>
    <x v="1"/>
    <x v="6"/>
    <x v="1"/>
    <x v="442"/>
    <n v="3"/>
    <n v="71.900000000000006"/>
    <x v="2"/>
    <x v="2"/>
    <n v="4.5"/>
    <n v="10"/>
    <x v="25"/>
    <s v="No"/>
  </r>
  <r>
    <x v="814"/>
    <n v="25"/>
    <x v="0"/>
    <x v="7"/>
    <x v="0"/>
    <x v="443"/>
    <n v="8"/>
    <n v="95.2"/>
    <x v="1"/>
    <x v="2"/>
    <n v="4"/>
    <n v="6"/>
    <x v="10"/>
    <s v="No"/>
  </r>
  <r>
    <x v="815"/>
    <n v="18"/>
    <x v="0"/>
    <x v="3"/>
    <x v="0"/>
    <x v="0"/>
    <n v="7"/>
    <n v="64"/>
    <x v="0"/>
    <x v="1"/>
    <n v="4.8"/>
    <n v="10"/>
    <x v="8"/>
    <s v="No"/>
  </r>
  <r>
    <x v="816"/>
    <n v="24"/>
    <x v="0"/>
    <x v="5"/>
    <x v="2"/>
    <x v="444"/>
    <n v="4"/>
    <n v="86"/>
    <x v="1"/>
    <x v="3"/>
    <n v="4.9000000000000004"/>
    <n v="9"/>
    <x v="10"/>
    <s v="No"/>
  </r>
  <r>
    <x v="817"/>
    <n v="19"/>
    <x v="1"/>
    <x v="5"/>
    <x v="0"/>
    <x v="190"/>
    <n v="8"/>
    <n v="85"/>
    <x v="1"/>
    <x v="1"/>
    <n v="2.2999999999999998"/>
    <n v="8"/>
    <x v="48"/>
    <s v="Yes"/>
  </r>
  <r>
    <x v="818"/>
    <n v="19"/>
    <x v="1"/>
    <x v="4"/>
    <x v="2"/>
    <x v="252"/>
    <n v="3"/>
    <n v="69.2"/>
    <x v="0"/>
    <x v="1"/>
    <n v="7.6"/>
    <n v="3"/>
    <x v="46"/>
    <s v="Yes"/>
  </r>
  <r>
    <x v="819"/>
    <n v="21"/>
    <x v="1"/>
    <x v="6"/>
    <x v="0"/>
    <x v="189"/>
    <n v="5"/>
    <n v="86.6"/>
    <x v="0"/>
    <x v="2"/>
    <n v="1.4"/>
    <n v="4"/>
    <x v="61"/>
    <s v="No"/>
  </r>
  <r>
    <x v="820"/>
    <n v="21"/>
    <x v="1"/>
    <x v="1"/>
    <x v="1"/>
    <x v="157"/>
    <n v="2"/>
    <n v="65.8"/>
    <x v="1"/>
    <x v="3"/>
    <n v="3"/>
    <n v="2"/>
    <x v="44"/>
    <s v="No"/>
  </r>
  <r>
    <x v="821"/>
    <n v="21"/>
    <x v="1"/>
    <x v="4"/>
    <x v="1"/>
    <x v="385"/>
    <n v="10"/>
    <n v="56.2"/>
    <x v="0"/>
    <x v="2"/>
    <n v="0.9"/>
    <n v="6"/>
    <x v="22"/>
    <s v="No"/>
  </r>
  <r>
    <x v="822"/>
    <n v="22"/>
    <x v="0"/>
    <x v="3"/>
    <x v="1"/>
    <x v="322"/>
    <n v="9"/>
    <n v="58"/>
    <x v="1"/>
    <x v="2"/>
    <n v="7.9"/>
    <n v="8"/>
    <x v="44"/>
    <s v="Yes"/>
  </r>
  <r>
    <x v="823"/>
    <n v="17"/>
    <x v="1"/>
    <x v="2"/>
    <x v="0"/>
    <x v="445"/>
    <n v="9"/>
    <n v="70.099999999999994"/>
    <x v="0"/>
    <x v="0"/>
    <n v="1.6"/>
    <n v="9"/>
    <x v="46"/>
    <s v="Yes"/>
  </r>
  <r>
    <x v="824"/>
    <n v="20"/>
    <x v="0"/>
    <x v="0"/>
    <x v="1"/>
    <x v="446"/>
    <n v="9"/>
    <n v="65.8"/>
    <x v="2"/>
    <x v="0"/>
    <n v="1.7"/>
    <n v="8"/>
    <x v="33"/>
    <s v="No"/>
  </r>
  <r>
    <x v="825"/>
    <n v="19"/>
    <x v="0"/>
    <x v="5"/>
    <x v="2"/>
    <x v="47"/>
    <n v="7"/>
    <n v="78.099999999999994"/>
    <x v="1"/>
    <x v="2"/>
    <n v="3"/>
    <n v="10"/>
    <x v="9"/>
    <s v="No"/>
  </r>
  <r>
    <x v="826"/>
    <n v="23"/>
    <x v="1"/>
    <x v="6"/>
    <x v="2"/>
    <x v="358"/>
    <n v="4"/>
    <n v="67"/>
    <x v="1"/>
    <x v="2"/>
    <n v="7.6"/>
    <n v="5"/>
    <x v="28"/>
    <s v="No"/>
  </r>
  <r>
    <x v="827"/>
    <n v="20"/>
    <x v="1"/>
    <x v="8"/>
    <x v="0"/>
    <x v="344"/>
    <n v="7"/>
    <n v="76.5"/>
    <x v="0"/>
    <x v="3"/>
    <n v="6.2"/>
    <n v="5"/>
    <x v="8"/>
    <s v="No"/>
  </r>
  <r>
    <x v="828"/>
    <n v="24"/>
    <x v="0"/>
    <x v="8"/>
    <x v="2"/>
    <x v="273"/>
    <n v="7"/>
    <n v="61.6"/>
    <x v="2"/>
    <x v="4"/>
    <n v="4.9000000000000004"/>
    <n v="6"/>
    <x v="41"/>
    <s v="Yes"/>
  </r>
  <r>
    <x v="829"/>
    <n v="25"/>
    <x v="1"/>
    <x v="4"/>
    <x v="3"/>
    <x v="342"/>
    <n v="7"/>
    <n v="81.099999999999994"/>
    <x v="0"/>
    <x v="3"/>
    <n v="5.6"/>
    <n v="1"/>
    <x v="54"/>
    <s v="Yes"/>
  </r>
  <r>
    <x v="830"/>
    <n v="17"/>
    <x v="1"/>
    <x v="0"/>
    <x v="1"/>
    <x v="447"/>
    <n v="8"/>
    <n v="54.8"/>
    <x v="1"/>
    <x v="2"/>
    <n v="7.1"/>
    <n v="9"/>
    <x v="45"/>
    <s v="Yes"/>
  </r>
  <r>
    <x v="831"/>
    <n v="24"/>
    <x v="0"/>
    <x v="7"/>
    <x v="0"/>
    <x v="364"/>
    <n v="4"/>
    <n v="83.2"/>
    <x v="0"/>
    <x v="0"/>
    <n v="6.9"/>
    <n v="1"/>
    <x v="64"/>
    <s v="Yes"/>
  </r>
  <r>
    <x v="832"/>
    <n v="25"/>
    <x v="0"/>
    <x v="2"/>
    <x v="0"/>
    <x v="257"/>
    <n v="7"/>
    <n v="73.400000000000006"/>
    <x v="2"/>
    <x v="3"/>
    <n v="4.5"/>
    <n v="5"/>
    <x v="49"/>
    <s v="No"/>
  </r>
  <r>
    <x v="833"/>
    <n v="18"/>
    <x v="0"/>
    <x v="0"/>
    <x v="2"/>
    <x v="190"/>
    <n v="9"/>
    <n v="58.4"/>
    <x v="1"/>
    <x v="0"/>
    <n v="2.7"/>
    <n v="1"/>
    <x v="9"/>
    <s v="No"/>
  </r>
  <r>
    <x v="834"/>
    <n v="25"/>
    <x v="1"/>
    <x v="8"/>
    <x v="1"/>
    <x v="128"/>
    <n v="4"/>
    <n v="56.5"/>
    <x v="2"/>
    <x v="0"/>
    <n v="2"/>
    <n v="3"/>
    <x v="29"/>
    <s v="Yes"/>
  </r>
  <r>
    <x v="835"/>
    <n v="26"/>
    <x v="1"/>
    <x v="4"/>
    <x v="2"/>
    <x v="192"/>
    <n v="3"/>
    <n v="51.3"/>
    <x v="2"/>
    <x v="3"/>
    <n v="2.9"/>
    <n v="10"/>
    <x v="16"/>
    <s v="No"/>
  </r>
  <r>
    <x v="836"/>
    <n v="24"/>
    <x v="0"/>
    <x v="4"/>
    <x v="2"/>
    <x v="321"/>
    <n v="5"/>
    <n v="59.9"/>
    <x v="1"/>
    <x v="1"/>
    <n v="1.4"/>
    <n v="10"/>
    <x v="10"/>
    <s v="Yes"/>
  </r>
  <r>
    <x v="837"/>
    <n v="23"/>
    <x v="0"/>
    <x v="0"/>
    <x v="1"/>
    <x v="245"/>
    <n v="3"/>
    <n v="57.1"/>
    <x v="0"/>
    <x v="3"/>
    <n v="6.7"/>
    <n v="5"/>
    <x v="9"/>
    <s v="Yes"/>
  </r>
  <r>
    <x v="838"/>
    <n v="17"/>
    <x v="1"/>
    <x v="6"/>
    <x v="0"/>
    <x v="288"/>
    <n v="4"/>
    <n v="50.5"/>
    <x v="1"/>
    <x v="3"/>
    <n v="0.1"/>
    <n v="8"/>
    <x v="45"/>
    <s v="Yes"/>
  </r>
  <r>
    <x v="839"/>
    <n v="21"/>
    <x v="1"/>
    <x v="3"/>
    <x v="0"/>
    <x v="209"/>
    <n v="6"/>
    <n v="69.3"/>
    <x v="0"/>
    <x v="3"/>
    <n v="7.6"/>
    <n v="5"/>
    <x v="25"/>
    <s v="No"/>
  </r>
  <r>
    <x v="840"/>
    <n v="21"/>
    <x v="0"/>
    <x v="6"/>
    <x v="0"/>
    <x v="404"/>
    <n v="6"/>
    <n v="81.599999999999994"/>
    <x v="0"/>
    <x v="3"/>
    <n v="3.1"/>
    <n v="8"/>
    <x v="5"/>
    <s v="No"/>
  </r>
  <r>
    <x v="841"/>
    <n v="24"/>
    <x v="1"/>
    <x v="4"/>
    <x v="1"/>
    <x v="448"/>
    <n v="9"/>
    <n v="55.4"/>
    <x v="0"/>
    <x v="0"/>
    <n v="2.8"/>
    <n v="7"/>
    <x v="36"/>
    <s v="No"/>
  </r>
  <r>
    <x v="842"/>
    <n v="26"/>
    <x v="1"/>
    <x v="7"/>
    <x v="1"/>
    <x v="380"/>
    <n v="4"/>
    <n v="51.5"/>
    <x v="0"/>
    <x v="4"/>
    <n v="2.2999999999999998"/>
    <n v="1"/>
    <x v="7"/>
    <s v="Yes"/>
  </r>
  <r>
    <x v="843"/>
    <n v="21"/>
    <x v="1"/>
    <x v="3"/>
    <x v="0"/>
    <x v="241"/>
    <n v="3"/>
    <n v="70.900000000000006"/>
    <x v="0"/>
    <x v="0"/>
    <n v="7.5"/>
    <n v="1"/>
    <x v="51"/>
    <s v="No"/>
  </r>
  <r>
    <x v="844"/>
    <n v="18"/>
    <x v="1"/>
    <x v="2"/>
    <x v="0"/>
    <x v="0"/>
    <n v="4"/>
    <n v="62.9"/>
    <x v="2"/>
    <x v="4"/>
    <n v="8.1999999999999993"/>
    <n v="3"/>
    <x v="42"/>
    <s v="Yes"/>
  </r>
  <r>
    <x v="845"/>
    <n v="25"/>
    <x v="1"/>
    <x v="6"/>
    <x v="2"/>
    <x v="328"/>
    <n v="7"/>
    <n v="56.9"/>
    <x v="1"/>
    <x v="2"/>
    <n v="7"/>
    <n v="5"/>
    <x v="1"/>
    <s v="Yes"/>
  </r>
  <r>
    <x v="846"/>
    <n v="24"/>
    <x v="1"/>
    <x v="1"/>
    <x v="0"/>
    <x v="196"/>
    <n v="3"/>
    <n v="57.4"/>
    <x v="0"/>
    <x v="0"/>
    <n v="4.7"/>
    <n v="5"/>
    <x v="5"/>
    <s v="No"/>
  </r>
  <r>
    <x v="847"/>
    <n v="23"/>
    <x v="0"/>
    <x v="3"/>
    <x v="1"/>
    <x v="206"/>
    <n v="8"/>
    <n v="61"/>
    <x v="2"/>
    <x v="2"/>
    <n v="8.1999999999999993"/>
    <n v="3"/>
    <x v="14"/>
    <s v="No"/>
  </r>
  <r>
    <x v="848"/>
    <n v="25"/>
    <x v="0"/>
    <x v="6"/>
    <x v="2"/>
    <x v="276"/>
    <n v="4"/>
    <n v="81.599999999999994"/>
    <x v="0"/>
    <x v="2"/>
    <n v="2.6"/>
    <n v="1"/>
    <x v="20"/>
    <s v="No"/>
  </r>
  <r>
    <x v="849"/>
    <n v="21"/>
    <x v="0"/>
    <x v="7"/>
    <x v="2"/>
    <x v="197"/>
    <n v="7"/>
    <n v="99"/>
    <x v="0"/>
    <x v="0"/>
    <n v="6.8"/>
    <n v="4"/>
    <x v="40"/>
    <s v="No"/>
  </r>
  <r>
    <x v="850"/>
    <n v="26"/>
    <x v="1"/>
    <x v="5"/>
    <x v="0"/>
    <x v="118"/>
    <n v="2"/>
    <n v="51.9"/>
    <x v="0"/>
    <x v="1"/>
    <n v="2"/>
    <n v="1"/>
    <x v="17"/>
    <s v="Yes"/>
  </r>
  <r>
    <x v="851"/>
    <n v="27"/>
    <x v="0"/>
    <x v="0"/>
    <x v="2"/>
    <x v="449"/>
    <n v="4"/>
    <n v="86.7"/>
    <x v="2"/>
    <x v="3"/>
    <n v="5.6"/>
    <n v="9"/>
    <x v="59"/>
    <s v="No"/>
  </r>
  <r>
    <x v="852"/>
    <n v="22"/>
    <x v="0"/>
    <x v="6"/>
    <x v="1"/>
    <x v="399"/>
    <n v="5"/>
    <n v="55"/>
    <x v="1"/>
    <x v="0"/>
    <n v="2.7"/>
    <n v="10"/>
    <x v="40"/>
    <s v="Yes"/>
  </r>
  <r>
    <x v="853"/>
    <n v="19"/>
    <x v="0"/>
    <x v="3"/>
    <x v="1"/>
    <x v="253"/>
    <n v="4"/>
    <n v="91.3"/>
    <x v="1"/>
    <x v="4"/>
    <n v="3.4"/>
    <n v="5"/>
    <x v="23"/>
    <s v="Yes"/>
  </r>
  <r>
    <x v="854"/>
    <n v="27"/>
    <x v="0"/>
    <x v="4"/>
    <x v="0"/>
    <x v="274"/>
    <n v="3"/>
    <n v="50.5"/>
    <x v="1"/>
    <x v="1"/>
    <n v="8.8000000000000007"/>
    <n v="6"/>
    <x v="7"/>
    <s v="Yes"/>
  </r>
  <r>
    <x v="855"/>
    <n v="19"/>
    <x v="1"/>
    <x v="2"/>
    <x v="0"/>
    <x v="363"/>
    <n v="10"/>
    <n v="86.7"/>
    <x v="1"/>
    <x v="4"/>
    <n v="4.2"/>
    <n v="6"/>
    <x v="26"/>
    <s v="Yes"/>
  </r>
  <r>
    <x v="856"/>
    <n v="26"/>
    <x v="0"/>
    <x v="6"/>
    <x v="1"/>
    <x v="161"/>
    <n v="2"/>
    <n v="73.3"/>
    <x v="2"/>
    <x v="1"/>
    <n v="7.2"/>
    <n v="3"/>
    <x v="50"/>
    <s v="Yes"/>
  </r>
  <r>
    <x v="857"/>
    <n v="22"/>
    <x v="1"/>
    <x v="4"/>
    <x v="2"/>
    <x v="116"/>
    <n v="6"/>
    <n v="85.5"/>
    <x v="1"/>
    <x v="3"/>
    <n v="5.6"/>
    <n v="8"/>
    <x v="42"/>
    <s v="No"/>
  </r>
  <r>
    <x v="858"/>
    <n v="18"/>
    <x v="1"/>
    <x v="3"/>
    <x v="1"/>
    <x v="12"/>
    <n v="5"/>
    <n v="62.5"/>
    <x v="2"/>
    <x v="4"/>
    <n v="5.3"/>
    <n v="9"/>
    <x v="30"/>
    <s v="Yes"/>
  </r>
  <r>
    <x v="859"/>
    <n v="19"/>
    <x v="0"/>
    <x v="6"/>
    <x v="0"/>
    <x v="450"/>
    <n v="8"/>
    <n v="65"/>
    <x v="1"/>
    <x v="4"/>
    <n v="0.6"/>
    <n v="4"/>
    <x v="4"/>
    <s v="Yes"/>
  </r>
  <r>
    <x v="860"/>
    <n v="21"/>
    <x v="1"/>
    <x v="1"/>
    <x v="1"/>
    <x v="451"/>
    <n v="4"/>
    <n v="99.5"/>
    <x v="1"/>
    <x v="1"/>
    <n v="1.5"/>
    <n v="6"/>
    <x v="48"/>
    <s v="Yes"/>
  </r>
  <r>
    <x v="861"/>
    <n v="27"/>
    <x v="1"/>
    <x v="8"/>
    <x v="0"/>
    <x v="61"/>
    <n v="7"/>
    <n v="91.8"/>
    <x v="1"/>
    <x v="2"/>
    <n v="2.2000000000000002"/>
    <n v="5"/>
    <x v="32"/>
    <s v="No"/>
  </r>
  <r>
    <x v="862"/>
    <n v="18"/>
    <x v="1"/>
    <x v="4"/>
    <x v="1"/>
    <x v="452"/>
    <n v="5"/>
    <n v="92.8"/>
    <x v="1"/>
    <x v="0"/>
    <n v="5.5"/>
    <n v="2"/>
    <x v="50"/>
    <s v="No"/>
  </r>
  <r>
    <x v="863"/>
    <n v="23"/>
    <x v="1"/>
    <x v="5"/>
    <x v="1"/>
    <x v="114"/>
    <n v="2"/>
    <n v="69.3"/>
    <x v="2"/>
    <x v="1"/>
    <n v="2.8"/>
    <n v="5"/>
    <x v="36"/>
    <s v="No"/>
  </r>
  <r>
    <x v="864"/>
    <n v="23"/>
    <x v="1"/>
    <x v="1"/>
    <x v="0"/>
    <x v="178"/>
    <n v="2"/>
    <n v="82.9"/>
    <x v="1"/>
    <x v="2"/>
    <n v="7.7"/>
    <n v="9"/>
    <x v="31"/>
    <s v="No"/>
  </r>
  <r>
    <x v="865"/>
    <n v="19"/>
    <x v="1"/>
    <x v="0"/>
    <x v="0"/>
    <x v="224"/>
    <n v="7"/>
    <n v="72.5"/>
    <x v="2"/>
    <x v="3"/>
    <n v="6.1"/>
    <n v="10"/>
    <x v="15"/>
    <s v="Yes"/>
  </r>
  <r>
    <x v="866"/>
    <n v="23"/>
    <x v="0"/>
    <x v="2"/>
    <x v="0"/>
    <x v="122"/>
    <n v="10"/>
    <n v="70.3"/>
    <x v="1"/>
    <x v="2"/>
    <n v="3.6"/>
    <n v="2"/>
    <x v="42"/>
    <s v="Yes"/>
  </r>
  <r>
    <x v="867"/>
    <n v="19"/>
    <x v="1"/>
    <x v="8"/>
    <x v="0"/>
    <x v="164"/>
    <n v="2"/>
    <n v="63.3"/>
    <x v="0"/>
    <x v="4"/>
    <n v="1"/>
    <n v="4"/>
    <x v="44"/>
    <s v="No"/>
  </r>
  <r>
    <x v="868"/>
    <n v="17"/>
    <x v="0"/>
    <x v="4"/>
    <x v="3"/>
    <x v="367"/>
    <n v="6"/>
    <n v="64.2"/>
    <x v="1"/>
    <x v="2"/>
    <n v="7.8"/>
    <n v="2"/>
    <x v="38"/>
    <s v="No"/>
  </r>
  <r>
    <x v="869"/>
    <n v="23"/>
    <x v="0"/>
    <x v="2"/>
    <x v="0"/>
    <x v="85"/>
    <n v="10"/>
    <n v="69.8"/>
    <x v="2"/>
    <x v="4"/>
    <n v="3.5"/>
    <n v="10"/>
    <x v="22"/>
    <s v="Yes"/>
  </r>
  <r>
    <x v="870"/>
    <n v="20"/>
    <x v="0"/>
    <x v="1"/>
    <x v="0"/>
    <x v="233"/>
    <n v="3"/>
    <n v="82.4"/>
    <x v="0"/>
    <x v="2"/>
    <n v="3.3"/>
    <n v="3"/>
    <x v="8"/>
    <s v="Yes"/>
  </r>
  <r>
    <x v="871"/>
    <n v="26"/>
    <x v="0"/>
    <x v="7"/>
    <x v="2"/>
    <x v="358"/>
    <n v="10"/>
    <n v="58"/>
    <x v="0"/>
    <x v="1"/>
    <n v="2.4"/>
    <n v="7"/>
    <x v="26"/>
    <s v="Yes"/>
  </r>
  <r>
    <x v="872"/>
    <n v="27"/>
    <x v="1"/>
    <x v="3"/>
    <x v="0"/>
    <x v="453"/>
    <n v="3"/>
    <n v="76.099999999999994"/>
    <x v="1"/>
    <x v="1"/>
    <n v="4.3"/>
    <n v="1"/>
    <x v="12"/>
    <s v="No"/>
  </r>
  <r>
    <x v="873"/>
    <n v="18"/>
    <x v="1"/>
    <x v="0"/>
    <x v="1"/>
    <x v="98"/>
    <n v="7"/>
    <n v="73.3"/>
    <x v="2"/>
    <x v="0"/>
    <n v="6.1"/>
    <n v="1"/>
    <x v="0"/>
    <s v="No"/>
  </r>
  <r>
    <x v="874"/>
    <n v="17"/>
    <x v="1"/>
    <x v="5"/>
    <x v="2"/>
    <x v="316"/>
    <n v="10"/>
    <n v="54.2"/>
    <x v="0"/>
    <x v="4"/>
    <n v="5.8"/>
    <n v="3"/>
    <x v="17"/>
    <s v="No"/>
  </r>
  <r>
    <x v="875"/>
    <n v="22"/>
    <x v="0"/>
    <x v="6"/>
    <x v="1"/>
    <x v="425"/>
    <n v="9"/>
    <n v="61.6"/>
    <x v="1"/>
    <x v="1"/>
    <n v="3.7"/>
    <n v="6"/>
    <x v="55"/>
    <s v="No"/>
  </r>
  <r>
    <x v="876"/>
    <n v="24"/>
    <x v="1"/>
    <x v="2"/>
    <x v="0"/>
    <x v="454"/>
    <n v="2"/>
    <n v="67.8"/>
    <x v="1"/>
    <x v="0"/>
    <n v="2.1"/>
    <n v="4"/>
    <x v="45"/>
    <s v="No"/>
  </r>
  <r>
    <x v="877"/>
    <n v="24"/>
    <x v="1"/>
    <x v="6"/>
    <x v="0"/>
    <x v="415"/>
    <n v="9"/>
    <n v="84.7"/>
    <x v="0"/>
    <x v="2"/>
    <n v="6.2"/>
    <n v="10"/>
    <x v="56"/>
    <s v="No"/>
  </r>
  <r>
    <x v="878"/>
    <n v="22"/>
    <x v="0"/>
    <x v="1"/>
    <x v="1"/>
    <x v="251"/>
    <n v="4"/>
    <n v="53.1"/>
    <x v="0"/>
    <x v="1"/>
    <n v="1.2"/>
    <n v="9"/>
    <x v="48"/>
    <s v="No"/>
  </r>
  <r>
    <x v="879"/>
    <n v="24"/>
    <x v="1"/>
    <x v="6"/>
    <x v="0"/>
    <x v="428"/>
    <n v="8"/>
    <n v="54"/>
    <x v="1"/>
    <x v="3"/>
    <n v="3.5"/>
    <n v="2"/>
    <x v="7"/>
    <s v="No"/>
  </r>
  <r>
    <x v="880"/>
    <n v="26"/>
    <x v="1"/>
    <x v="5"/>
    <x v="2"/>
    <x v="149"/>
    <n v="6"/>
    <n v="88.1"/>
    <x v="0"/>
    <x v="2"/>
    <n v="4"/>
    <n v="4"/>
    <x v="25"/>
    <s v="No"/>
  </r>
  <r>
    <x v="881"/>
    <n v="24"/>
    <x v="0"/>
    <x v="2"/>
    <x v="0"/>
    <x v="241"/>
    <n v="4"/>
    <n v="94.2"/>
    <x v="0"/>
    <x v="0"/>
    <n v="2"/>
    <n v="5"/>
    <x v="21"/>
    <s v="Yes"/>
  </r>
  <r>
    <x v="882"/>
    <n v="23"/>
    <x v="0"/>
    <x v="8"/>
    <x v="0"/>
    <x v="303"/>
    <n v="10"/>
    <n v="92"/>
    <x v="2"/>
    <x v="0"/>
    <n v="4.0999999999999996"/>
    <n v="10"/>
    <x v="7"/>
    <s v="No"/>
  </r>
  <r>
    <x v="883"/>
    <n v="17"/>
    <x v="1"/>
    <x v="7"/>
    <x v="2"/>
    <x v="246"/>
    <n v="2"/>
    <n v="62.4"/>
    <x v="1"/>
    <x v="3"/>
    <n v="6.7"/>
    <n v="7"/>
    <x v="2"/>
    <s v="Yes"/>
  </r>
  <r>
    <x v="884"/>
    <n v="22"/>
    <x v="0"/>
    <x v="3"/>
    <x v="0"/>
    <x v="455"/>
    <n v="5"/>
    <n v="91.3"/>
    <x v="2"/>
    <x v="1"/>
    <n v="4.5999999999999996"/>
    <n v="8"/>
    <x v="3"/>
    <s v="Yes"/>
  </r>
  <r>
    <x v="885"/>
    <n v="19"/>
    <x v="0"/>
    <x v="4"/>
    <x v="0"/>
    <x v="456"/>
    <n v="2"/>
    <n v="57.1"/>
    <x v="0"/>
    <x v="4"/>
    <n v="0.5"/>
    <n v="9"/>
    <x v="21"/>
    <s v="Yes"/>
  </r>
  <r>
    <x v="886"/>
    <n v="18"/>
    <x v="1"/>
    <x v="8"/>
    <x v="0"/>
    <x v="369"/>
    <n v="4"/>
    <n v="52.1"/>
    <x v="0"/>
    <x v="4"/>
    <n v="1.9"/>
    <n v="1"/>
    <x v="53"/>
    <s v="Yes"/>
  </r>
  <r>
    <x v="887"/>
    <n v="18"/>
    <x v="0"/>
    <x v="4"/>
    <x v="0"/>
    <x v="401"/>
    <n v="3"/>
    <n v="53.4"/>
    <x v="1"/>
    <x v="0"/>
    <n v="5.7"/>
    <n v="2"/>
    <x v="6"/>
    <s v="No"/>
  </r>
  <r>
    <x v="888"/>
    <n v="23"/>
    <x v="0"/>
    <x v="7"/>
    <x v="1"/>
    <x v="457"/>
    <n v="6"/>
    <n v="66.099999999999994"/>
    <x v="1"/>
    <x v="2"/>
    <n v="5"/>
    <n v="8"/>
    <x v="56"/>
    <s v="No"/>
  </r>
  <r>
    <x v="889"/>
    <n v="24"/>
    <x v="1"/>
    <x v="5"/>
    <x v="0"/>
    <x v="266"/>
    <n v="7"/>
    <n v="50.9"/>
    <x v="1"/>
    <x v="1"/>
    <n v="7.1"/>
    <n v="10"/>
    <x v="8"/>
    <s v="Yes"/>
  </r>
  <r>
    <x v="890"/>
    <n v="23"/>
    <x v="1"/>
    <x v="6"/>
    <x v="0"/>
    <x v="458"/>
    <n v="3"/>
    <n v="97.5"/>
    <x v="0"/>
    <x v="0"/>
    <n v="1.3"/>
    <n v="4"/>
    <x v="16"/>
    <s v="No"/>
  </r>
  <r>
    <x v="891"/>
    <n v="17"/>
    <x v="0"/>
    <x v="8"/>
    <x v="0"/>
    <x v="199"/>
    <n v="2"/>
    <n v="68.5"/>
    <x v="2"/>
    <x v="0"/>
    <n v="4.5999999999999996"/>
    <n v="4"/>
    <x v="41"/>
    <s v="Yes"/>
  </r>
  <r>
    <x v="892"/>
    <n v="22"/>
    <x v="1"/>
    <x v="8"/>
    <x v="1"/>
    <x v="459"/>
    <n v="8"/>
    <n v="91.2"/>
    <x v="1"/>
    <x v="4"/>
    <n v="4.3"/>
    <n v="4"/>
    <x v="12"/>
    <s v="Yes"/>
  </r>
  <r>
    <x v="893"/>
    <n v="23"/>
    <x v="0"/>
    <x v="7"/>
    <x v="0"/>
    <x v="292"/>
    <n v="3"/>
    <n v="87.7"/>
    <x v="0"/>
    <x v="4"/>
    <n v="4.4000000000000004"/>
    <n v="9"/>
    <x v="38"/>
    <s v="No"/>
  </r>
  <r>
    <x v="894"/>
    <n v="26"/>
    <x v="0"/>
    <x v="2"/>
    <x v="1"/>
    <x v="460"/>
    <n v="6"/>
    <n v="59.8"/>
    <x v="1"/>
    <x v="3"/>
    <n v="8.9"/>
    <n v="7"/>
    <x v="24"/>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D3EAF1-05C5-40F8-8589-919B92B289B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15" firstHeaderRow="1" firstDataRow="2" firstDataCol="1" rowPageCount="1" colPageCount="1"/>
  <pivotFields count="14">
    <pivotField axis="axisRow" showAll="0" measureFilter="1">
      <items count="8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showAll="0"/>
    <pivotField axis="axisPage" multipleItemSelectionAllowed="1" showAll="0">
      <items count="3">
        <item x="1"/>
        <item x="0"/>
        <item t="default"/>
      </items>
    </pivotField>
    <pivotField showAll="0">
      <items count="10">
        <item x="7"/>
        <item x="8"/>
        <item x="5"/>
        <item x="6"/>
        <item x="0"/>
        <item x="4"/>
        <item x="1"/>
        <item x="2"/>
        <item x="3"/>
        <item t="default"/>
      </items>
    </pivotField>
    <pivotField axis="axisCol" showAll="0" sortType="descending">
      <items count="5">
        <item x="3"/>
        <item x="2"/>
        <item x="1"/>
        <item x="0"/>
        <item t="default"/>
      </items>
    </pivotField>
    <pivotField dataField="1" showAll="0">
      <items count="462">
        <item x="398"/>
        <item x="185"/>
        <item x="298"/>
        <item x="102"/>
        <item x="439"/>
        <item x="423"/>
        <item x="38"/>
        <item x="130"/>
        <item x="133"/>
        <item x="273"/>
        <item x="299"/>
        <item x="74"/>
        <item x="156"/>
        <item x="457"/>
        <item x="379"/>
        <item x="190"/>
        <item x="72"/>
        <item x="23"/>
        <item x="119"/>
        <item x="77"/>
        <item x="456"/>
        <item x="187"/>
        <item x="200"/>
        <item x="33"/>
        <item x="447"/>
        <item x="148"/>
        <item x="178"/>
        <item x="67"/>
        <item x="85"/>
        <item x="208"/>
        <item x="16"/>
        <item x="104"/>
        <item x="395"/>
        <item x="170"/>
        <item x="279"/>
        <item x="180"/>
        <item x="448"/>
        <item x="224"/>
        <item x="115"/>
        <item x="116"/>
        <item x="196"/>
        <item x="314"/>
        <item x="310"/>
        <item x="113"/>
        <item x="246"/>
        <item x="378"/>
        <item x="138"/>
        <item x="223"/>
        <item x="297"/>
        <item x="201"/>
        <item x="174"/>
        <item x="101"/>
        <item x="363"/>
        <item x="372"/>
        <item x="332"/>
        <item x="459"/>
        <item x="309"/>
        <item x="141"/>
        <item x="8"/>
        <item x="381"/>
        <item x="61"/>
        <item x="287"/>
        <item x="305"/>
        <item x="99"/>
        <item x="250"/>
        <item x="140"/>
        <item x="377"/>
        <item x="131"/>
        <item x="426"/>
        <item x="354"/>
        <item x="255"/>
        <item x="20"/>
        <item x="114"/>
        <item x="336"/>
        <item x="147"/>
        <item x="27"/>
        <item x="376"/>
        <item x="453"/>
        <item x="68"/>
        <item x="351"/>
        <item x="26"/>
        <item x="358"/>
        <item x="153"/>
        <item x="237"/>
        <item x="321"/>
        <item x="270"/>
        <item x="335"/>
        <item x="344"/>
        <item x="360"/>
        <item x="142"/>
        <item x="0"/>
        <item x="320"/>
        <item x="152"/>
        <item x="155"/>
        <item x="71"/>
        <item x="361"/>
        <item x="13"/>
        <item x="242"/>
        <item x="258"/>
        <item x="424"/>
        <item x="393"/>
        <item x="161"/>
        <item x="118"/>
        <item x="408"/>
        <item x="216"/>
        <item x="89"/>
        <item x="117"/>
        <item x="193"/>
        <item x="317"/>
        <item x="167"/>
        <item x="55"/>
        <item x="347"/>
        <item x="188"/>
        <item x="281"/>
        <item x="194"/>
        <item x="403"/>
        <item x="134"/>
        <item x="409"/>
        <item x="239"/>
        <item x="176"/>
        <item x="97"/>
        <item x="107"/>
        <item x="169"/>
        <item x="418"/>
        <item x="42"/>
        <item x="110"/>
        <item x="66"/>
        <item x="198"/>
        <item x="441"/>
        <item x="396"/>
        <item x="290"/>
        <item x="460"/>
        <item x="59"/>
        <item x="217"/>
        <item x="25"/>
        <item x="387"/>
        <item x="342"/>
        <item x="207"/>
        <item x="350"/>
        <item x="449"/>
        <item x="69"/>
        <item x="303"/>
        <item x="432"/>
        <item x="295"/>
        <item x="125"/>
        <item x="302"/>
        <item x="165"/>
        <item x="247"/>
        <item x="382"/>
        <item x="226"/>
        <item x="137"/>
        <item x="323"/>
        <item x="43"/>
        <item x="211"/>
        <item x="210"/>
        <item x="416"/>
        <item x="442"/>
        <item x="123"/>
        <item x="263"/>
        <item x="434"/>
        <item x="330"/>
        <item x="166"/>
        <item x="98"/>
        <item x="62"/>
        <item x="333"/>
        <item x="443"/>
        <item x="230"/>
        <item x="103"/>
        <item x="345"/>
        <item x="17"/>
        <item x="45"/>
        <item x="36"/>
        <item x="455"/>
        <item x="274"/>
        <item x="259"/>
        <item x="256"/>
        <item x="22"/>
        <item x="30"/>
        <item x="83"/>
        <item x="414"/>
        <item x="109"/>
        <item x="127"/>
        <item x="129"/>
        <item x="63"/>
        <item x="177"/>
        <item x="308"/>
        <item x="241"/>
        <item x="356"/>
        <item x="203"/>
        <item x="268"/>
        <item x="64"/>
        <item x="32"/>
        <item x="57"/>
        <item x="365"/>
        <item x="4"/>
        <item x="86"/>
        <item x="253"/>
        <item x="428"/>
        <item x="11"/>
        <item x="341"/>
        <item x="235"/>
        <item x="221"/>
        <item x="40"/>
        <item x="265"/>
        <item x="331"/>
        <item x="238"/>
        <item x="340"/>
        <item x="150"/>
        <item x="362"/>
        <item x="151"/>
        <item x="154"/>
        <item x="225"/>
        <item x="76"/>
        <item x="37"/>
        <item x="433"/>
        <item x="364"/>
        <item x="417"/>
        <item x="284"/>
        <item x="355"/>
        <item x="1"/>
        <item x="58"/>
        <item x="212"/>
        <item x="202"/>
        <item x="425"/>
        <item x="339"/>
        <item x="88"/>
        <item x="10"/>
        <item x="325"/>
        <item x="373"/>
        <item x="206"/>
        <item x="15"/>
        <item x="3"/>
        <item x="446"/>
        <item x="444"/>
        <item x="6"/>
        <item x="415"/>
        <item x="215"/>
        <item x="254"/>
        <item x="218"/>
        <item x="368"/>
        <item x="366"/>
        <item x="197"/>
        <item x="100"/>
        <item x="267"/>
        <item x="173"/>
        <item x="46"/>
        <item x="276"/>
        <item x="146"/>
        <item x="49"/>
        <item x="121"/>
        <item x="264"/>
        <item x="112"/>
        <item x="262"/>
        <item x="288"/>
        <item x="389"/>
        <item x="371"/>
        <item x="105"/>
        <item x="272"/>
        <item x="318"/>
        <item x="326"/>
        <item x="266"/>
        <item x="12"/>
        <item x="430"/>
        <item x="293"/>
        <item x="65"/>
        <item x="260"/>
        <item x="285"/>
        <item x="384"/>
        <item x="53"/>
        <item x="357"/>
        <item x="70"/>
        <item x="172"/>
        <item x="9"/>
        <item x="124"/>
        <item x="35"/>
        <item x="445"/>
        <item x="294"/>
        <item x="228"/>
        <item x="213"/>
        <item x="51"/>
        <item x="149"/>
        <item x="286"/>
        <item x="402"/>
        <item x="406"/>
        <item x="440"/>
        <item x="52"/>
        <item x="251"/>
        <item x="143"/>
        <item x="7"/>
        <item x="316"/>
        <item x="111"/>
        <item x="327"/>
        <item x="209"/>
        <item x="390"/>
        <item x="171"/>
        <item x="245"/>
        <item x="128"/>
        <item x="348"/>
        <item x="75"/>
        <item x="220"/>
        <item x="96"/>
        <item x="199"/>
        <item x="248"/>
        <item x="383"/>
        <item x="291"/>
        <item x="283"/>
        <item x="135"/>
        <item x="179"/>
        <item x="421"/>
        <item x="271"/>
        <item x="397"/>
        <item x="311"/>
        <item x="337"/>
        <item x="282"/>
        <item x="359"/>
        <item x="28"/>
        <item x="407"/>
        <item x="240"/>
        <item x="157"/>
        <item x="21"/>
        <item x="214"/>
        <item x="392"/>
        <item x="437"/>
        <item x="450"/>
        <item x="427"/>
        <item x="315"/>
        <item x="186"/>
        <item x="451"/>
        <item x="93"/>
        <item x="231"/>
        <item x="380"/>
        <item x="324"/>
        <item x="454"/>
        <item x="81"/>
        <item x="252"/>
        <item x="367"/>
        <item x="181"/>
        <item x="328"/>
        <item x="329"/>
        <item x="412"/>
        <item x="391"/>
        <item x="429"/>
        <item x="422"/>
        <item x="34"/>
        <item x="29"/>
        <item x="312"/>
        <item x="44"/>
        <item x="292"/>
        <item x="244"/>
        <item x="219"/>
        <item x="79"/>
        <item x="94"/>
        <item x="232"/>
        <item x="301"/>
        <item x="236"/>
        <item x="249"/>
        <item x="349"/>
        <item x="126"/>
        <item x="275"/>
        <item x="73"/>
        <item x="334"/>
        <item x="80"/>
        <item x="306"/>
        <item x="280"/>
        <item x="144"/>
        <item x="204"/>
        <item x="438"/>
        <item x="54"/>
        <item x="413"/>
        <item x="338"/>
        <item x="5"/>
        <item x="168"/>
        <item x="164"/>
        <item x="95"/>
        <item x="400"/>
        <item x="304"/>
        <item x="162"/>
        <item x="136"/>
        <item x="106"/>
        <item x="14"/>
        <item x="24"/>
        <item x="234"/>
        <item x="411"/>
        <item x="404"/>
        <item x="84"/>
        <item x="87"/>
        <item x="385"/>
        <item x="91"/>
        <item x="374"/>
        <item x="353"/>
        <item x="394"/>
        <item x="319"/>
        <item x="269"/>
        <item x="48"/>
        <item x="145"/>
        <item x="300"/>
        <item x="322"/>
        <item x="278"/>
        <item x="313"/>
        <item x="50"/>
        <item x="56"/>
        <item x="78"/>
        <item x="458"/>
        <item x="120"/>
        <item x="346"/>
        <item x="2"/>
        <item x="139"/>
        <item x="452"/>
        <item x="233"/>
        <item x="90"/>
        <item x="192"/>
        <item x="18"/>
        <item x="19"/>
        <item x="257"/>
        <item x="159"/>
        <item x="289"/>
        <item x="195"/>
        <item x="108"/>
        <item x="410"/>
        <item x="183"/>
        <item x="435"/>
        <item x="399"/>
        <item x="205"/>
        <item x="229"/>
        <item x="175"/>
        <item x="431"/>
        <item x="243"/>
        <item x="132"/>
        <item x="227"/>
        <item x="405"/>
        <item x="122"/>
        <item x="436"/>
        <item x="343"/>
        <item x="82"/>
        <item x="420"/>
        <item x="92"/>
        <item x="189"/>
        <item x="31"/>
        <item x="296"/>
        <item x="370"/>
        <item x="375"/>
        <item x="41"/>
        <item x="401"/>
        <item x="261"/>
        <item x="182"/>
        <item x="163"/>
        <item x="369"/>
        <item x="307"/>
        <item x="160"/>
        <item x="419"/>
        <item x="39"/>
        <item x="60"/>
        <item x="158"/>
        <item x="386"/>
        <item x="277"/>
        <item x="47"/>
        <item x="184"/>
        <item x="191"/>
        <item x="222"/>
        <item x="352"/>
        <item x="388"/>
        <item t="default"/>
      </items>
    </pivotField>
    <pivotField showAll="0"/>
    <pivotField showAll="0"/>
    <pivotField showAll="0">
      <items count="4">
        <item x="0"/>
        <item x="2"/>
        <item x="1"/>
        <item t="default"/>
      </items>
    </pivotField>
    <pivotField showAll="0">
      <items count="6">
        <item x="4"/>
        <item x="3"/>
        <item x="0"/>
        <item x="2"/>
        <item x="1"/>
        <item t="default"/>
      </items>
    </pivotField>
    <pivotField showAll="0"/>
    <pivotField showAll="0"/>
    <pivotField showAll="0"/>
    <pivotField showAll="0"/>
  </pivotFields>
  <rowFields count="1">
    <field x="0"/>
  </rowFields>
  <rowItems count="11">
    <i>
      <x v="48"/>
    </i>
    <i>
      <x v="218"/>
    </i>
    <i>
      <x v="228"/>
    </i>
    <i>
      <x v="272"/>
    </i>
    <i>
      <x v="455"/>
    </i>
    <i>
      <x v="534"/>
    </i>
    <i>
      <x v="566"/>
    </i>
    <i>
      <x v="638"/>
    </i>
    <i>
      <x v="676"/>
    </i>
    <i>
      <x v="825"/>
    </i>
    <i t="grand">
      <x/>
    </i>
  </rowItems>
  <colFields count="1">
    <field x="4"/>
  </colFields>
  <colItems count="5">
    <i>
      <x/>
    </i>
    <i>
      <x v="1"/>
    </i>
    <i>
      <x v="2"/>
    </i>
    <i>
      <x v="3"/>
    </i>
    <i t="grand">
      <x/>
    </i>
  </colItems>
  <pageFields count="1">
    <pageField fld="2" hier="-1"/>
  </pageFields>
  <dataFields count="1">
    <dataField name="Sum of CGPA" fld="5" baseField="0" baseItem="0"/>
  </dataFields>
  <chartFormats count="8">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6" format="8" series="1">
      <pivotArea type="data" outline="0" fieldPosition="0">
        <references count="2">
          <reference field="4294967294" count="1" selected="0">
            <x v="0"/>
          </reference>
          <reference field="4" count="1" selected="0">
            <x v="0"/>
          </reference>
        </references>
      </pivotArea>
    </chartFormat>
    <chartFormat chart="6" format="9" series="1">
      <pivotArea type="data" outline="0" fieldPosition="0">
        <references count="2">
          <reference field="4294967294" count="1" selected="0">
            <x v="0"/>
          </reference>
          <reference field="4" count="1" selected="0">
            <x v="1"/>
          </reference>
        </references>
      </pivotArea>
    </chartFormat>
    <chartFormat chart="6" format="10" series="1">
      <pivotArea type="data" outline="0" fieldPosition="0">
        <references count="2">
          <reference field="4294967294" count="1" selected="0">
            <x v="0"/>
          </reference>
          <reference field="4" count="1" selected="0">
            <x v="2"/>
          </reference>
        </references>
      </pivotArea>
    </chartFormat>
    <chartFormat chart="6"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BE97AC-5AFD-46C0-BE14-9DC0875FAF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rowPageCount="1" colPageCount="1"/>
  <pivotFields count="14">
    <pivotField showAll="0">
      <items count="8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showAll="0"/>
    <pivotField axis="axisPage" showAll="0">
      <items count="3">
        <item x="1"/>
        <item x="0"/>
        <item t="default"/>
      </items>
    </pivotField>
    <pivotField showAll="0">
      <items count="10">
        <item x="7"/>
        <item x="8"/>
        <item x="5"/>
        <item x="6"/>
        <item x="0"/>
        <item x="4"/>
        <item x="1"/>
        <item x="2"/>
        <item x="3"/>
        <item t="default"/>
      </items>
    </pivotField>
    <pivotField axis="axisRow" showAll="0" sortType="ascending">
      <items count="5">
        <item x="0"/>
        <item x="1"/>
        <item x="2"/>
        <item x="3"/>
        <item t="default"/>
      </items>
    </pivotField>
    <pivotField showAll="0">
      <items count="462">
        <item x="398"/>
        <item x="185"/>
        <item x="298"/>
        <item x="102"/>
        <item x="439"/>
        <item x="423"/>
        <item x="38"/>
        <item x="130"/>
        <item x="133"/>
        <item x="273"/>
        <item x="299"/>
        <item x="74"/>
        <item x="156"/>
        <item x="457"/>
        <item x="379"/>
        <item x="190"/>
        <item x="72"/>
        <item x="23"/>
        <item x="119"/>
        <item x="77"/>
        <item x="456"/>
        <item x="187"/>
        <item x="200"/>
        <item x="33"/>
        <item x="447"/>
        <item x="148"/>
        <item x="178"/>
        <item x="67"/>
        <item x="85"/>
        <item x="208"/>
        <item x="16"/>
        <item x="104"/>
        <item x="395"/>
        <item x="170"/>
        <item x="279"/>
        <item x="180"/>
        <item x="448"/>
        <item x="224"/>
        <item x="115"/>
        <item x="116"/>
        <item x="196"/>
        <item x="314"/>
        <item x="310"/>
        <item x="113"/>
        <item x="246"/>
        <item x="378"/>
        <item x="138"/>
        <item x="223"/>
        <item x="297"/>
        <item x="201"/>
        <item x="174"/>
        <item x="101"/>
        <item x="363"/>
        <item x="372"/>
        <item x="332"/>
        <item x="459"/>
        <item x="309"/>
        <item x="141"/>
        <item x="8"/>
        <item x="381"/>
        <item x="61"/>
        <item x="287"/>
        <item x="305"/>
        <item x="99"/>
        <item x="250"/>
        <item x="140"/>
        <item x="377"/>
        <item x="131"/>
        <item x="426"/>
        <item x="354"/>
        <item x="255"/>
        <item x="20"/>
        <item x="114"/>
        <item x="336"/>
        <item x="147"/>
        <item x="27"/>
        <item x="376"/>
        <item x="453"/>
        <item x="68"/>
        <item x="351"/>
        <item x="26"/>
        <item x="358"/>
        <item x="153"/>
        <item x="237"/>
        <item x="321"/>
        <item x="270"/>
        <item x="335"/>
        <item x="344"/>
        <item x="360"/>
        <item x="142"/>
        <item x="0"/>
        <item x="320"/>
        <item x="152"/>
        <item x="155"/>
        <item x="71"/>
        <item x="361"/>
        <item x="13"/>
        <item x="242"/>
        <item x="258"/>
        <item x="424"/>
        <item x="393"/>
        <item x="161"/>
        <item x="118"/>
        <item x="408"/>
        <item x="216"/>
        <item x="89"/>
        <item x="117"/>
        <item x="193"/>
        <item x="317"/>
        <item x="167"/>
        <item x="55"/>
        <item x="347"/>
        <item x="188"/>
        <item x="281"/>
        <item x="194"/>
        <item x="403"/>
        <item x="134"/>
        <item x="409"/>
        <item x="239"/>
        <item x="176"/>
        <item x="97"/>
        <item x="107"/>
        <item x="169"/>
        <item x="418"/>
        <item x="42"/>
        <item x="110"/>
        <item x="66"/>
        <item x="198"/>
        <item x="441"/>
        <item x="396"/>
        <item x="290"/>
        <item x="460"/>
        <item x="59"/>
        <item x="217"/>
        <item x="25"/>
        <item x="387"/>
        <item x="342"/>
        <item x="207"/>
        <item x="350"/>
        <item x="449"/>
        <item x="69"/>
        <item x="303"/>
        <item x="432"/>
        <item x="295"/>
        <item x="125"/>
        <item x="302"/>
        <item x="165"/>
        <item x="247"/>
        <item x="382"/>
        <item x="226"/>
        <item x="137"/>
        <item x="323"/>
        <item x="43"/>
        <item x="211"/>
        <item x="210"/>
        <item x="416"/>
        <item x="442"/>
        <item x="123"/>
        <item x="263"/>
        <item x="434"/>
        <item x="330"/>
        <item x="166"/>
        <item x="98"/>
        <item x="62"/>
        <item x="333"/>
        <item x="443"/>
        <item x="230"/>
        <item x="103"/>
        <item x="345"/>
        <item x="17"/>
        <item x="45"/>
        <item x="36"/>
        <item x="455"/>
        <item x="274"/>
        <item x="259"/>
        <item x="256"/>
        <item x="22"/>
        <item x="30"/>
        <item x="83"/>
        <item x="414"/>
        <item x="109"/>
        <item x="127"/>
        <item x="129"/>
        <item x="63"/>
        <item x="177"/>
        <item x="308"/>
        <item x="241"/>
        <item x="356"/>
        <item x="203"/>
        <item x="268"/>
        <item x="64"/>
        <item x="32"/>
        <item x="57"/>
        <item x="365"/>
        <item x="4"/>
        <item x="86"/>
        <item x="253"/>
        <item x="428"/>
        <item x="11"/>
        <item x="341"/>
        <item x="235"/>
        <item x="221"/>
        <item x="40"/>
        <item x="265"/>
        <item x="331"/>
        <item x="238"/>
        <item x="340"/>
        <item x="150"/>
        <item x="362"/>
        <item x="151"/>
        <item x="154"/>
        <item x="225"/>
        <item x="76"/>
        <item x="37"/>
        <item x="433"/>
        <item x="364"/>
        <item x="417"/>
        <item x="284"/>
        <item x="355"/>
        <item x="1"/>
        <item x="58"/>
        <item x="212"/>
        <item x="202"/>
        <item x="425"/>
        <item x="339"/>
        <item x="88"/>
        <item x="10"/>
        <item x="325"/>
        <item x="373"/>
        <item x="206"/>
        <item x="15"/>
        <item x="3"/>
        <item x="446"/>
        <item x="444"/>
        <item x="6"/>
        <item x="415"/>
        <item x="215"/>
        <item x="254"/>
        <item x="218"/>
        <item x="368"/>
        <item x="366"/>
        <item x="197"/>
        <item x="100"/>
        <item x="267"/>
        <item x="173"/>
        <item x="46"/>
        <item x="276"/>
        <item x="146"/>
        <item x="49"/>
        <item x="121"/>
        <item x="264"/>
        <item x="112"/>
        <item x="262"/>
        <item x="288"/>
        <item x="389"/>
        <item x="371"/>
        <item x="105"/>
        <item x="272"/>
        <item x="318"/>
        <item x="326"/>
        <item x="266"/>
        <item x="12"/>
        <item x="430"/>
        <item x="293"/>
        <item x="65"/>
        <item x="260"/>
        <item x="285"/>
        <item x="384"/>
        <item x="53"/>
        <item x="357"/>
        <item x="70"/>
        <item x="172"/>
        <item x="9"/>
        <item x="124"/>
        <item x="35"/>
        <item x="445"/>
        <item x="294"/>
        <item x="228"/>
        <item x="213"/>
        <item x="51"/>
        <item x="149"/>
        <item x="286"/>
        <item x="402"/>
        <item x="406"/>
        <item x="440"/>
        <item x="52"/>
        <item x="251"/>
        <item x="143"/>
        <item x="7"/>
        <item x="316"/>
        <item x="111"/>
        <item x="327"/>
        <item x="209"/>
        <item x="390"/>
        <item x="171"/>
        <item x="245"/>
        <item x="128"/>
        <item x="348"/>
        <item x="75"/>
        <item x="220"/>
        <item x="96"/>
        <item x="199"/>
        <item x="248"/>
        <item x="383"/>
        <item x="291"/>
        <item x="283"/>
        <item x="135"/>
        <item x="179"/>
        <item x="421"/>
        <item x="271"/>
        <item x="397"/>
        <item x="311"/>
        <item x="337"/>
        <item x="282"/>
        <item x="359"/>
        <item x="28"/>
        <item x="407"/>
        <item x="240"/>
        <item x="157"/>
        <item x="21"/>
        <item x="214"/>
        <item x="392"/>
        <item x="437"/>
        <item x="450"/>
        <item x="427"/>
        <item x="315"/>
        <item x="186"/>
        <item x="451"/>
        <item x="93"/>
        <item x="231"/>
        <item x="380"/>
        <item x="324"/>
        <item x="454"/>
        <item x="81"/>
        <item x="252"/>
        <item x="367"/>
        <item x="181"/>
        <item x="328"/>
        <item x="329"/>
        <item x="412"/>
        <item x="391"/>
        <item x="429"/>
        <item x="422"/>
        <item x="34"/>
        <item x="29"/>
        <item x="312"/>
        <item x="44"/>
        <item x="292"/>
        <item x="244"/>
        <item x="219"/>
        <item x="79"/>
        <item x="94"/>
        <item x="232"/>
        <item x="301"/>
        <item x="236"/>
        <item x="249"/>
        <item x="349"/>
        <item x="126"/>
        <item x="275"/>
        <item x="73"/>
        <item x="334"/>
        <item x="80"/>
        <item x="306"/>
        <item x="280"/>
        <item x="144"/>
        <item x="204"/>
        <item x="438"/>
        <item x="54"/>
        <item x="413"/>
        <item x="338"/>
        <item x="5"/>
        <item x="168"/>
        <item x="164"/>
        <item x="95"/>
        <item x="400"/>
        <item x="304"/>
        <item x="162"/>
        <item x="136"/>
        <item x="106"/>
        <item x="14"/>
        <item x="24"/>
        <item x="234"/>
        <item x="411"/>
        <item x="404"/>
        <item x="84"/>
        <item x="87"/>
        <item x="385"/>
        <item x="91"/>
        <item x="374"/>
        <item x="353"/>
        <item x="394"/>
        <item x="319"/>
        <item x="269"/>
        <item x="48"/>
        <item x="145"/>
        <item x="300"/>
        <item x="322"/>
        <item x="278"/>
        <item x="313"/>
        <item x="50"/>
        <item x="56"/>
        <item x="78"/>
        <item x="458"/>
        <item x="120"/>
        <item x="346"/>
        <item x="2"/>
        <item x="139"/>
        <item x="452"/>
        <item x="233"/>
        <item x="90"/>
        <item x="192"/>
        <item x="18"/>
        <item x="19"/>
        <item x="257"/>
        <item x="159"/>
        <item x="289"/>
        <item x="195"/>
        <item x="108"/>
        <item x="410"/>
        <item x="183"/>
        <item x="435"/>
        <item x="399"/>
        <item x="205"/>
        <item x="229"/>
        <item x="175"/>
        <item x="431"/>
        <item x="243"/>
        <item x="132"/>
        <item x="227"/>
        <item x="405"/>
        <item x="122"/>
        <item x="436"/>
        <item x="343"/>
        <item x="82"/>
        <item x="420"/>
        <item x="92"/>
        <item x="189"/>
        <item x="31"/>
        <item x="296"/>
        <item x="370"/>
        <item x="375"/>
        <item x="41"/>
        <item x="401"/>
        <item x="261"/>
        <item x="182"/>
        <item x="163"/>
        <item x="369"/>
        <item x="307"/>
        <item x="160"/>
        <item x="419"/>
        <item x="39"/>
        <item x="60"/>
        <item x="158"/>
        <item x="386"/>
        <item x="277"/>
        <item x="47"/>
        <item x="184"/>
        <item x="191"/>
        <item x="222"/>
        <item x="352"/>
        <item x="388"/>
        <item t="default"/>
      </items>
    </pivotField>
    <pivotField showAll="0"/>
    <pivotField dataField="1" showAll="0"/>
    <pivotField showAll="0">
      <items count="4">
        <item x="0"/>
        <item x="2"/>
        <item x="1"/>
        <item t="default"/>
      </items>
    </pivotField>
    <pivotField showAll="0">
      <items count="6">
        <item x="4"/>
        <item x="3"/>
        <item x="0"/>
        <item x="2"/>
        <item x="1"/>
        <item t="default"/>
      </items>
    </pivotField>
    <pivotField showAll="0"/>
    <pivotField showAll="0"/>
    <pivotField showAll="0"/>
    <pivotField showAll="0"/>
  </pivotFields>
  <rowFields count="1">
    <field x="4"/>
  </rowFields>
  <rowItems count="5">
    <i>
      <x/>
    </i>
    <i>
      <x v="1"/>
    </i>
    <i>
      <x v="2"/>
    </i>
    <i>
      <x v="3"/>
    </i>
    <i t="grand">
      <x/>
    </i>
  </rowItems>
  <colItems count="1">
    <i/>
  </colItems>
  <pageFields count="1">
    <pageField fld="2" hier="-1"/>
  </pageFields>
  <dataFields count="1">
    <dataField name="Sum of Attendance_%" fld="7" baseField="0" baseItem="0" numFmtId="9"/>
  </dataFields>
  <formats count="2">
    <format dxfId="6">
      <pivotArea outline="0" collapsedLevelsAreSubtotals="1" fieldPosition="0"/>
    </format>
    <format dxfId="5">
      <pivotArea collapsedLevelsAreSubtotals="1" fieldPosition="0">
        <references count="1">
          <reference field="4" count="0"/>
        </references>
      </pivotArea>
    </format>
  </format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6BA2D3-AAF7-44FB-A921-55AAEE9DFD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38" firstHeaderRow="1" firstDataRow="1" firstDataCol="1"/>
  <pivotFields count="14">
    <pivotField showAll="0">
      <items count="8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showAll="0"/>
    <pivotField showAll="0">
      <items count="3">
        <item x="1"/>
        <item x="0"/>
        <item t="default"/>
      </items>
    </pivotField>
    <pivotField axis="axisRow" showAll="0" sortType="descending">
      <items count="10">
        <item x="3"/>
        <item x="2"/>
        <item x="1"/>
        <item x="4"/>
        <item x="0"/>
        <item x="6"/>
        <item x="5"/>
        <item x="8"/>
        <item x="7"/>
        <item t="default"/>
      </items>
      <autoSortScope>
        <pivotArea dataOnly="0" outline="0" fieldPosition="0">
          <references count="1">
            <reference field="4294967294" count="1" selected="0">
              <x v="0"/>
            </reference>
          </references>
        </pivotArea>
      </autoSortScope>
    </pivotField>
    <pivotField axis="axisRow" showAll="0" sortType="ascending">
      <items count="5">
        <item x="0"/>
        <item x="1"/>
        <item x="2"/>
        <item x="3"/>
        <item t="default"/>
      </items>
    </pivotField>
    <pivotField dataField="1" showAll="0">
      <items count="462">
        <item x="398"/>
        <item x="185"/>
        <item x="298"/>
        <item x="102"/>
        <item x="439"/>
        <item x="423"/>
        <item x="38"/>
        <item x="130"/>
        <item x="133"/>
        <item x="273"/>
        <item x="299"/>
        <item x="74"/>
        <item x="156"/>
        <item x="457"/>
        <item x="379"/>
        <item x="190"/>
        <item x="72"/>
        <item x="23"/>
        <item x="119"/>
        <item x="77"/>
        <item x="456"/>
        <item x="187"/>
        <item x="200"/>
        <item x="33"/>
        <item x="447"/>
        <item x="148"/>
        <item x="178"/>
        <item x="67"/>
        <item x="85"/>
        <item x="208"/>
        <item x="16"/>
        <item x="104"/>
        <item x="395"/>
        <item x="170"/>
        <item x="279"/>
        <item x="180"/>
        <item x="448"/>
        <item x="224"/>
        <item x="115"/>
        <item x="116"/>
        <item x="196"/>
        <item x="314"/>
        <item x="310"/>
        <item x="113"/>
        <item x="246"/>
        <item x="378"/>
        <item x="138"/>
        <item x="223"/>
        <item x="297"/>
        <item x="201"/>
        <item x="174"/>
        <item x="101"/>
        <item x="363"/>
        <item x="372"/>
        <item x="332"/>
        <item x="459"/>
        <item x="309"/>
        <item x="141"/>
        <item x="8"/>
        <item x="381"/>
        <item x="61"/>
        <item x="287"/>
        <item x="305"/>
        <item x="99"/>
        <item x="250"/>
        <item x="140"/>
        <item x="377"/>
        <item x="131"/>
        <item x="426"/>
        <item x="354"/>
        <item x="255"/>
        <item x="20"/>
        <item x="114"/>
        <item x="336"/>
        <item x="147"/>
        <item x="27"/>
        <item x="376"/>
        <item x="453"/>
        <item x="68"/>
        <item x="351"/>
        <item x="26"/>
        <item x="358"/>
        <item x="153"/>
        <item x="237"/>
        <item x="321"/>
        <item x="270"/>
        <item x="335"/>
        <item x="344"/>
        <item x="360"/>
        <item x="142"/>
        <item x="0"/>
        <item x="320"/>
        <item x="152"/>
        <item x="155"/>
        <item x="71"/>
        <item x="361"/>
        <item x="13"/>
        <item x="242"/>
        <item x="258"/>
        <item x="424"/>
        <item x="393"/>
        <item x="161"/>
        <item x="118"/>
        <item x="408"/>
        <item x="216"/>
        <item x="89"/>
        <item x="117"/>
        <item x="193"/>
        <item x="317"/>
        <item x="167"/>
        <item x="55"/>
        <item x="347"/>
        <item x="188"/>
        <item x="281"/>
        <item x="194"/>
        <item x="403"/>
        <item x="134"/>
        <item x="409"/>
        <item x="239"/>
        <item x="176"/>
        <item x="97"/>
        <item x="107"/>
        <item x="169"/>
        <item x="418"/>
        <item x="42"/>
        <item x="110"/>
        <item x="66"/>
        <item x="198"/>
        <item x="441"/>
        <item x="396"/>
        <item x="290"/>
        <item x="460"/>
        <item x="59"/>
        <item x="217"/>
        <item x="25"/>
        <item x="387"/>
        <item x="342"/>
        <item x="207"/>
        <item x="350"/>
        <item x="449"/>
        <item x="69"/>
        <item x="303"/>
        <item x="432"/>
        <item x="295"/>
        <item x="125"/>
        <item x="302"/>
        <item x="165"/>
        <item x="247"/>
        <item x="382"/>
        <item x="226"/>
        <item x="137"/>
        <item x="323"/>
        <item x="43"/>
        <item x="211"/>
        <item x="210"/>
        <item x="416"/>
        <item x="442"/>
        <item x="123"/>
        <item x="263"/>
        <item x="434"/>
        <item x="330"/>
        <item x="166"/>
        <item x="98"/>
        <item x="62"/>
        <item x="333"/>
        <item x="443"/>
        <item x="230"/>
        <item x="103"/>
        <item x="345"/>
        <item x="17"/>
        <item x="45"/>
        <item x="36"/>
        <item x="455"/>
        <item x="274"/>
        <item x="259"/>
        <item x="256"/>
        <item x="22"/>
        <item x="30"/>
        <item x="83"/>
        <item x="414"/>
        <item x="109"/>
        <item x="127"/>
        <item x="129"/>
        <item x="63"/>
        <item x="177"/>
        <item x="308"/>
        <item x="241"/>
        <item x="356"/>
        <item x="203"/>
        <item x="268"/>
        <item x="64"/>
        <item x="32"/>
        <item x="57"/>
        <item x="365"/>
        <item x="4"/>
        <item x="86"/>
        <item x="253"/>
        <item x="428"/>
        <item x="11"/>
        <item x="341"/>
        <item x="235"/>
        <item x="221"/>
        <item x="40"/>
        <item x="265"/>
        <item x="331"/>
        <item x="238"/>
        <item x="340"/>
        <item x="150"/>
        <item x="362"/>
        <item x="151"/>
        <item x="154"/>
        <item x="225"/>
        <item x="76"/>
        <item x="37"/>
        <item x="433"/>
        <item x="364"/>
        <item x="417"/>
        <item x="284"/>
        <item x="355"/>
        <item x="1"/>
        <item x="58"/>
        <item x="212"/>
        <item x="202"/>
        <item x="425"/>
        <item x="339"/>
        <item x="88"/>
        <item x="10"/>
        <item x="325"/>
        <item x="373"/>
        <item x="206"/>
        <item x="15"/>
        <item x="3"/>
        <item x="446"/>
        <item x="444"/>
        <item x="6"/>
        <item x="415"/>
        <item x="215"/>
        <item x="254"/>
        <item x="218"/>
        <item x="368"/>
        <item x="366"/>
        <item x="197"/>
        <item x="100"/>
        <item x="267"/>
        <item x="173"/>
        <item x="46"/>
        <item x="276"/>
        <item x="146"/>
        <item x="49"/>
        <item x="121"/>
        <item x="264"/>
        <item x="112"/>
        <item x="262"/>
        <item x="288"/>
        <item x="389"/>
        <item x="371"/>
        <item x="105"/>
        <item x="272"/>
        <item x="318"/>
        <item x="326"/>
        <item x="266"/>
        <item x="12"/>
        <item x="430"/>
        <item x="293"/>
        <item x="65"/>
        <item x="260"/>
        <item x="285"/>
        <item x="384"/>
        <item x="53"/>
        <item x="357"/>
        <item x="70"/>
        <item x="172"/>
        <item x="9"/>
        <item x="124"/>
        <item x="35"/>
        <item x="445"/>
        <item x="294"/>
        <item x="228"/>
        <item x="213"/>
        <item x="51"/>
        <item x="149"/>
        <item x="286"/>
        <item x="402"/>
        <item x="406"/>
        <item x="440"/>
        <item x="52"/>
        <item x="251"/>
        <item x="143"/>
        <item x="7"/>
        <item x="316"/>
        <item x="111"/>
        <item x="327"/>
        <item x="209"/>
        <item x="390"/>
        <item x="171"/>
        <item x="245"/>
        <item x="128"/>
        <item x="348"/>
        <item x="75"/>
        <item x="220"/>
        <item x="96"/>
        <item x="199"/>
        <item x="248"/>
        <item x="383"/>
        <item x="291"/>
        <item x="283"/>
        <item x="135"/>
        <item x="179"/>
        <item x="421"/>
        <item x="271"/>
        <item x="397"/>
        <item x="311"/>
        <item x="337"/>
        <item x="282"/>
        <item x="359"/>
        <item x="28"/>
        <item x="407"/>
        <item x="240"/>
        <item x="157"/>
        <item x="21"/>
        <item x="214"/>
        <item x="392"/>
        <item x="437"/>
        <item x="450"/>
        <item x="427"/>
        <item x="315"/>
        <item x="186"/>
        <item x="451"/>
        <item x="93"/>
        <item x="231"/>
        <item x="380"/>
        <item x="324"/>
        <item x="454"/>
        <item x="81"/>
        <item x="252"/>
        <item x="367"/>
        <item x="181"/>
        <item x="328"/>
        <item x="329"/>
        <item x="412"/>
        <item x="391"/>
        <item x="429"/>
        <item x="422"/>
        <item x="34"/>
        <item x="29"/>
        <item x="312"/>
        <item x="44"/>
        <item x="292"/>
        <item x="244"/>
        <item x="219"/>
        <item x="79"/>
        <item x="94"/>
        <item x="232"/>
        <item x="301"/>
        <item x="236"/>
        <item x="249"/>
        <item x="349"/>
        <item x="126"/>
        <item x="275"/>
        <item x="73"/>
        <item x="334"/>
        <item x="80"/>
        <item x="306"/>
        <item x="280"/>
        <item x="144"/>
        <item x="204"/>
        <item x="438"/>
        <item x="54"/>
        <item x="413"/>
        <item x="338"/>
        <item x="5"/>
        <item x="168"/>
        <item x="164"/>
        <item x="95"/>
        <item x="400"/>
        <item x="304"/>
        <item x="162"/>
        <item x="136"/>
        <item x="106"/>
        <item x="14"/>
        <item x="24"/>
        <item x="234"/>
        <item x="411"/>
        <item x="404"/>
        <item x="84"/>
        <item x="87"/>
        <item x="385"/>
        <item x="91"/>
        <item x="374"/>
        <item x="353"/>
        <item x="394"/>
        <item x="319"/>
        <item x="269"/>
        <item x="48"/>
        <item x="145"/>
        <item x="300"/>
        <item x="322"/>
        <item x="278"/>
        <item x="313"/>
        <item x="50"/>
        <item x="56"/>
        <item x="78"/>
        <item x="458"/>
        <item x="120"/>
        <item x="346"/>
        <item x="2"/>
        <item x="139"/>
        <item x="452"/>
        <item x="233"/>
        <item x="90"/>
        <item x="192"/>
        <item x="18"/>
        <item x="19"/>
        <item x="257"/>
        <item x="159"/>
        <item x="289"/>
        <item x="195"/>
        <item x="108"/>
        <item x="410"/>
        <item x="183"/>
        <item x="435"/>
        <item x="399"/>
        <item x="205"/>
        <item x="229"/>
        <item x="175"/>
        <item x="431"/>
        <item x="243"/>
        <item x="132"/>
        <item x="227"/>
        <item x="405"/>
        <item x="122"/>
        <item x="436"/>
        <item x="343"/>
        <item x="82"/>
        <item x="420"/>
        <item x="92"/>
        <item x="189"/>
        <item x="31"/>
        <item x="296"/>
        <item x="370"/>
        <item x="375"/>
        <item x="41"/>
        <item x="401"/>
        <item x="261"/>
        <item x="182"/>
        <item x="163"/>
        <item x="369"/>
        <item x="307"/>
        <item x="160"/>
        <item x="419"/>
        <item x="39"/>
        <item x="60"/>
        <item x="158"/>
        <item x="386"/>
        <item x="277"/>
        <item x="47"/>
        <item x="184"/>
        <item x="191"/>
        <item x="222"/>
        <item x="352"/>
        <item x="388"/>
        <item t="default"/>
      </items>
    </pivotField>
    <pivotField showAll="0"/>
    <pivotField showAll="0"/>
    <pivotField showAll="0">
      <items count="4">
        <item x="0"/>
        <item x="2"/>
        <item x="1"/>
        <item t="default"/>
      </items>
    </pivotField>
    <pivotField showAll="0">
      <items count="6">
        <item x="4"/>
        <item x="3"/>
        <item x="0"/>
        <item x="2"/>
        <item x="1"/>
        <item t="default"/>
      </items>
    </pivotField>
    <pivotField showAll="0"/>
    <pivotField showAll="0"/>
    <pivotField showAll="0"/>
    <pivotField showAll="0"/>
  </pivotFields>
  <rowFields count="2">
    <field x="3"/>
    <field x="4"/>
  </rowFields>
  <rowItems count="35">
    <i>
      <x v="4"/>
    </i>
    <i r="1">
      <x/>
    </i>
    <i r="1">
      <x v="1"/>
    </i>
    <i r="1">
      <x v="2"/>
    </i>
    <i>
      <x v="7"/>
    </i>
    <i r="1">
      <x/>
    </i>
    <i r="1">
      <x v="1"/>
    </i>
    <i r="1">
      <x v="2"/>
    </i>
    <i>
      <x v="3"/>
    </i>
    <i r="1">
      <x/>
    </i>
    <i r="1">
      <x v="1"/>
    </i>
    <i r="1">
      <x v="2"/>
    </i>
    <i r="1">
      <x v="3"/>
    </i>
    <i>
      <x v="6"/>
    </i>
    <i r="1">
      <x/>
    </i>
    <i r="1">
      <x v="1"/>
    </i>
    <i r="1">
      <x v="2"/>
    </i>
    <i>
      <x v="1"/>
    </i>
    <i r="1">
      <x/>
    </i>
    <i r="1">
      <x v="1"/>
    </i>
    <i>
      <x v="8"/>
    </i>
    <i r="1">
      <x/>
    </i>
    <i r="1">
      <x v="1"/>
    </i>
    <i r="1">
      <x v="2"/>
    </i>
    <i>
      <x/>
    </i>
    <i r="1">
      <x/>
    </i>
    <i r="1">
      <x v="1"/>
    </i>
    <i>
      <x v="2"/>
    </i>
    <i r="1">
      <x/>
    </i>
    <i r="1">
      <x v="1"/>
    </i>
    <i>
      <x v="5"/>
    </i>
    <i r="1">
      <x/>
    </i>
    <i r="1">
      <x v="1"/>
    </i>
    <i r="1">
      <x v="2"/>
    </i>
    <i t="grand">
      <x/>
    </i>
  </rowItems>
  <colItems count="1">
    <i/>
  </colItems>
  <dataFields count="1">
    <dataField name="Average of CGPA" fld="5" subtotal="average" baseField="3" baseItem="1" numFmtId="2"/>
  </dataFields>
  <formats count="1">
    <format dxfId="4">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E8DF41-4714-450C-BB10-C464774AFC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9" firstHeaderRow="0" firstDataRow="1" firstDataCol="1"/>
  <pivotFields count="14">
    <pivotField showAll="0">
      <items count="8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showAll="0"/>
    <pivotField showAll="0">
      <items count="3">
        <item x="1"/>
        <item x="0"/>
        <item t="default"/>
      </items>
    </pivotField>
    <pivotField showAll="0">
      <items count="10">
        <item x="3"/>
        <item x="2"/>
        <item x="1"/>
        <item x="4"/>
        <item x="0"/>
        <item x="6"/>
        <item x="5"/>
        <item x="8"/>
        <item x="7"/>
        <item t="default"/>
      </items>
    </pivotField>
    <pivotField showAll="0" sortType="ascending">
      <items count="5">
        <item x="0"/>
        <item x="1"/>
        <item x="2"/>
        <item x="3"/>
        <item t="default"/>
      </items>
    </pivotField>
    <pivotField dataField="1" showAll="0">
      <items count="462">
        <item x="398"/>
        <item x="185"/>
        <item x="298"/>
        <item x="102"/>
        <item x="439"/>
        <item x="423"/>
        <item x="38"/>
        <item x="130"/>
        <item x="133"/>
        <item x="273"/>
        <item x="299"/>
        <item x="74"/>
        <item x="156"/>
        <item x="457"/>
        <item x="379"/>
        <item x="190"/>
        <item x="72"/>
        <item x="23"/>
        <item x="119"/>
        <item x="77"/>
        <item x="456"/>
        <item x="187"/>
        <item x="200"/>
        <item x="33"/>
        <item x="447"/>
        <item x="148"/>
        <item x="178"/>
        <item x="67"/>
        <item x="85"/>
        <item x="208"/>
        <item x="16"/>
        <item x="104"/>
        <item x="395"/>
        <item x="170"/>
        <item x="279"/>
        <item x="180"/>
        <item x="448"/>
        <item x="224"/>
        <item x="115"/>
        <item x="116"/>
        <item x="196"/>
        <item x="314"/>
        <item x="310"/>
        <item x="113"/>
        <item x="246"/>
        <item x="378"/>
        <item x="138"/>
        <item x="223"/>
        <item x="297"/>
        <item x="201"/>
        <item x="174"/>
        <item x="101"/>
        <item x="363"/>
        <item x="372"/>
        <item x="332"/>
        <item x="459"/>
        <item x="309"/>
        <item x="141"/>
        <item x="8"/>
        <item x="381"/>
        <item x="61"/>
        <item x="287"/>
        <item x="305"/>
        <item x="99"/>
        <item x="250"/>
        <item x="140"/>
        <item x="377"/>
        <item x="131"/>
        <item x="426"/>
        <item x="354"/>
        <item x="255"/>
        <item x="20"/>
        <item x="114"/>
        <item x="336"/>
        <item x="147"/>
        <item x="27"/>
        <item x="376"/>
        <item x="453"/>
        <item x="68"/>
        <item x="351"/>
        <item x="26"/>
        <item x="358"/>
        <item x="153"/>
        <item x="237"/>
        <item x="321"/>
        <item x="270"/>
        <item x="335"/>
        <item x="344"/>
        <item x="360"/>
        <item x="142"/>
        <item x="0"/>
        <item x="320"/>
        <item x="152"/>
        <item x="155"/>
        <item x="71"/>
        <item x="361"/>
        <item x="13"/>
        <item x="242"/>
        <item x="258"/>
        <item x="424"/>
        <item x="393"/>
        <item x="161"/>
        <item x="118"/>
        <item x="408"/>
        <item x="216"/>
        <item x="89"/>
        <item x="117"/>
        <item x="193"/>
        <item x="317"/>
        <item x="167"/>
        <item x="55"/>
        <item x="347"/>
        <item x="188"/>
        <item x="281"/>
        <item x="194"/>
        <item x="403"/>
        <item x="134"/>
        <item x="409"/>
        <item x="239"/>
        <item x="176"/>
        <item x="97"/>
        <item x="107"/>
        <item x="169"/>
        <item x="418"/>
        <item x="42"/>
        <item x="110"/>
        <item x="66"/>
        <item x="198"/>
        <item x="441"/>
        <item x="396"/>
        <item x="290"/>
        <item x="460"/>
        <item x="59"/>
        <item x="217"/>
        <item x="25"/>
        <item x="387"/>
        <item x="342"/>
        <item x="207"/>
        <item x="350"/>
        <item x="449"/>
        <item x="69"/>
        <item x="303"/>
        <item x="432"/>
        <item x="295"/>
        <item x="125"/>
        <item x="302"/>
        <item x="165"/>
        <item x="247"/>
        <item x="382"/>
        <item x="226"/>
        <item x="137"/>
        <item x="323"/>
        <item x="43"/>
        <item x="211"/>
        <item x="210"/>
        <item x="416"/>
        <item x="442"/>
        <item x="123"/>
        <item x="263"/>
        <item x="434"/>
        <item x="330"/>
        <item x="166"/>
        <item x="98"/>
        <item x="62"/>
        <item x="333"/>
        <item x="443"/>
        <item x="230"/>
        <item x="103"/>
        <item x="345"/>
        <item x="17"/>
        <item x="45"/>
        <item x="36"/>
        <item x="455"/>
        <item x="274"/>
        <item x="259"/>
        <item x="256"/>
        <item x="22"/>
        <item x="30"/>
        <item x="83"/>
        <item x="414"/>
        <item x="109"/>
        <item x="127"/>
        <item x="129"/>
        <item x="63"/>
        <item x="177"/>
        <item x="308"/>
        <item x="241"/>
        <item x="356"/>
        <item x="203"/>
        <item x="268"/>
        <item x="64"/>
        <item x="32"/>
        <item x="57"/>
        <item x="365"/>
        <item x="4"/>
        <item x="86"/>
        <item x="253"/>
        <item x="428"/>
        <item x="11"/>
        <item x="341"/>
        <item x="235"/>
        <item x="221"/>
        <item x="40"/>
        <item x="265"/>
        <item x="331"/>
        <item x="238"/>
        <item x="340"/>
        <item x="150"/>
        <item x="362"/>
        <item x="151"/>
        <item x="154"/>
        <item x="225"/>
        <item x="76"/>
        <item x="37"/>
        <item x="433"/>
        <item x="364"/>
        <item x="417"/>
        <item x="284"/>
        <item x="355"/>
        <item x="1"/>
        <item x="58"/>
        <item x="212"/>
        <item x="202"/>
        <item x="425"/>
        <item x="339"/>
        <item x="88"/>
        <item x="10"/>
        <item x="325"/>
        <item x="373"/>
        <item x="206"/>
        <item x="15"/>
        <item x="3"/>
        <item x="446"/>
        <item x="444"/>
        <item x="6"/>
        <item x="415"/>
        <item x="215"/>
        <item x="254"/>
        <item x="218"/>
        <item x="368"/>
        <item x="366"/>
        <item x="197"/>
        <item x="100"/>
        <item x="267"/>
        <item x="173"/>
        <item x="46"/>
        <item x="276"/>
        <item x="146"/>
        <item x="49"/>
        <item x="121"/>
        <item x="264"/>
        <item x="112"/>
        <item x="262"/>
        <item x="288"/>
        <item x="389"/>
        <item x="371"/>
        <item x="105"/>
        <item x="272"/>
        <item x="318"/>
        <item x="326"/>
        <item x="266"/>
        <item x="12"/>
        <item x="430"/>
        <item x="293"/>
        <item x="65"/>
        <item x="260"/>
        <item x="285"/>
        <item x="384"/>
        <item x="53"/>
        <item x="357"/>
        <item x="70"/>
        <item x="172"/>
        <item x="9"/>
        <item x="124"/>
        <item x="35"/>
        <item x="445"/>
        <item x="294"/>
        <item x="228"/>
        <item x="213"/>
        <item x="51"/>
        <item x="149"/>
        <item x="286"/>
        <item x="402"/>
        <item x="406"/>
        <item x="440"/>
        <item x="52"/>
        <item x="251"/>
        <item x="143"/>
        <item x="7"/>
        <item x="316"/>
        <item x="111"/>
        <item x="327"/>
        <item x="209"/>
        <item x="390"/>
        <item x="171"/>
        <item x="245"/>
        <item x="128"/>
        <item x="348"/>
        <item x="75"/>
        <item x="220"/>
        <item x="96"/>
        <item x="199"/>
        <item x="248"/>
        <item x="383"/>
        <item x="291"/>
        <item x="283"/>
        <item x="135"/>
        <item x="179"/>
        <item x="421"/>
        <item x="271"/>
        <item x="397"/>
        <item x="311"/>
        <item x="337"/>
        <item x="282"/>
        <item x="359"/>
        <item x="28"/>
        <item x="407"/>
        <item x="240"/>
        <item x="157"/>
        <item x="21"/>
        <item x="214"/>
        <item x="392"/>
        <item x="437"/>
        <item x="450"/>
        <item x="427"/>
        <item x="315"/>
        <item x="186"/>
        <item x="451"/>
        <item x="93"/>
        <item x="231"/>
        <item x="380"/>
        <item x="324"/>
        <item x="454"/>
        <item x="81"/>
        <item x="252"/>
        <item x="367"/>
        <item x="181"/>
        <item x="328"/>
        <item x="329"/>
        <item x="412"/>
        <item x="391"/>
        <item x="429"/>
        <item x="422"/>
        <item x="34"/>
        <item x="29"/>
        <item x="312"/>
        <item x="44"/>
        <item x="292"/>
        <item x="244"/>
        <item x="219"/>
        <item x="79"/>
        <item x="94"/>
        <item x="232"/>
        <item x="301"/>
        <item x="236"/>
        <item x="249"/>
        <item x="349"/>
        <item x="126"/>
        <item x="275"/>
        <item x="73"/>
        <item x="334"/>
        <item x="80"/>
        <item x="306"/>
        <item x="280"/>
        <item x="144"/>
        <item x="204"/>
        <item x="438"/>
        <item x="54"/>
        <item x="413"/>
        <item x="338"/>
        <item x="5"/>
        <item x="168"/>
        <item x="164"/>
        <item x="95"/>
        <item x="400"/>
        <item x="304"/>
        <item x="162"/>
        <item x="136"/>
        <item x="106"/>
        <item x="14"/>
        <item x="24"/>
        <item x="234"/>
        <item x="411"/>
        <item x="404"/>
        <item x="84"/>
        <item x="87"/>
        <item x="385"/>
        <item x="91"/>
        <item x="374"/>
        <item x="353"/>
        <item x="394"/>
        <item x="319"/>
        <item x="269"/>
        <item x="48"/>
        <item x="145"/>
        <item x="300"/>
        <item x="322"/>
        <item x="278"/>
        <item x="313"/>
        <item x="50"/>
        <item x="56"/>
        <item x="78"/>
        <item x="458"/>
        <item x="120"/>
        <item x="346"/>
        <item x="2"/>
        <item x="139"/>
        <item x="452"/>
        <item x="233"/>
        <item x="90"/>
        <item x="192"/>
        <item x="18"/>
        <item x="19"/>
        <item x="257"/>
        <item x="159"/>
        <item x="289"/>
        <item x="195"/>
        <item x="108"/>
        <item x="410"/>
        <item x="183"/>
        <item x="435"/>
        <item x="399"/>
        <item x="205"/>
        <item x="229"/>
        <item x="175"/>
        <item x="431"/>
        <item x="243"/>
        <item x="132"/>
        <item x="227"/>
        <item x="405"/>
        <item x="122"/>
        <item x="436"/>
        <item x="343"/>
        <item x="82"/>
        <item x="420"/>
        <item x="92"/>
        <item x="189"/>
        <item x="31"/>
        <item x="296"/>
        <item x="370"/>
        <item x="375"/>
        <item x="41"/>
        <item x="401"/>
        <item x="261"/>
        <item x="182"/>
        <item x="163"/>
        <item x="369"/>
        <item x="307"/>
        <item x="160"/>
        <item x="419"/>
        <item x="39"/>
        <item x="60"/>
        <item x="158"/>
        <item x="386"/>
        <item x="277"/>
        <item x="47"/>
        <item x="184"/>
        <item x="191"/>
        <item x="222"/>
        <item x="352"/>
        <item x="388"/>
        <item t="default"/>
      </items>
    </pivotField>
    <pivotField showAll="0"/>
    <pivotField dataField="1" showAll="0"/>
    <pivotField showAll="0">
      <items count="4">
        <item x="0"/>
        <item x="2"/>
        <item x="1"/>
        <item t="default"/>
      </items>
    </pivotField>
    <pivotField axis="axisRow"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9"/>
  </rowFields>
  <rowItems count="6">
    <i>
      <x v="4"/>
    </i>
    <i>
      <x v="3"/>
    </i>
    <i>
      <x v="1"/>
    </i>
    <i>
      <x/>
    </i>
    <i>
      <x v="2"/>
    </i>
    <i t="grand">
      <x/>
    </i>
  </rowItems>
  <colFields count="1">
    <field x="-2"/>
  </colFields>
  <colItems count="2">
    <i>
      <x/>
    </i>
    <i i="1">
      <x v="1"/>
    </i>
  </colItems>
  <dataFields count="2">
    <dataField name="Sum of Attendance_%" fld="7" baseField="0" baseItem="0" numFmtId="1"/>
    <dataField name="Average of CGPA" fld="5" subtotal="average" baseField="9" baseItem="0"/>
  </dataFields>
  <formats count="2">
    <format dxfId="3">
      <pivotArea outline="0" collapsedLevelsAreSubtotals="1" fieldPosition="0"/>
    </format>
    <format dxfId="2">
      <pivotArea outline="0" collapsedLevelsAreSubtotals="1" fieldPosition="0">
        <references count="1">
          <reference field="4294967294" count="1" selected="0">
            <x v="0"/>
          </reference>
        </references>
      </pivotArea>
    </format>
  </formats>
  <chartFormats count="2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1"/>
          </reference>
          <reference field="9" count="1" selected="0">
            <x v="0"/>
          </reference>
        </references>
      </pivotArea>
    </chartFormat>
    <chartFormat chart="9" format="3">
      <pivotArea type="data" outline="0" fieldPosition="0">
        <references count="2">
          <reference field="4294967294" count="1" selected="0">
            <x v="0"/>
          </reference>
          <reference field="9" count="1" selected="0">
            <x v="0"/>
          </reference>
        </references>
      </pivotArea>
    </chartFormat>
    <chartFormat chart="9" format="4">
      <pivotArea type="data" outline="0" fieldPosition="0">
        <references count="2">
          <reference field="4294967294" count="1" selected="0">
            <x v="1"/>
          </reference>
          <reference field="9" count="1" selected="0">
            <x v="4"/>
          </reference>
        </references>
      </pivotArea>
    </chartFormat>
    <chartFormat chart="9" format="5">
      <pivotArea type="data" outline="0" fieldPosition="0">
        <references count="2">
          <reference field="4294967294" count="1" selected="0">
            <x v="0"/>
          </reference>
          <reference field="9" count="1" selected="0">
            <x v="4"/>
          </reference>
        </references>
      </pivotArea>
    </chartFormat>
    <chartFormat chart="9" format="6">
      <pivotArea type="data" outline="0" fieldPosition="0">
        <references count="2">
          <reference field="4294967294" count="1" selected="0">
            <x v="0"/>
          </reference>
          <reference field="9" count="1" selected="0">
            <x v="3"/>
          </reference>
        </references>
      </pivotArea>
    </chartFormat>
    <chartFormat chart="9" format="7">
      <pivotArea type="data" outline="0" fieldPosition="0">
        <references count="2">
          <reference field="4294967294" count="1" selected="0">
            <x v="1"/>
          </reference>
          <reference field="9" count="1" selected="0">
            <x v="3"/>
          </reference>
        </references>
      </pivotArea>
    </chartFormat>
    <chartFormat chart="9" format="8">
      <pivotArea type="data" outline="0" fieldPosition="0">
        <references count="2">
          <reference field="4294967294" count="1" selected="0">
            <x v="0"/>
          </reference>
          <reference field="9" count="1" selected="0">
            <x v="2"/>
          </reference>
        </references>
      </pivotArea>
    </chartFormat>
    <chartFormat chart="9" format="9">
      <pivotArea type="data" outline="0" fieldPosition="0">
        <references count="2">
          <reference field="4294967294" count="1" selected="0">
            <x v="0"/>
          </reference>
          <reference field="9" count="1" selected="0">
            <x v="1"/>
          </reference>
        </references>
      </pivotArea>
    </chartFormat>
    <chartFormat chart="9" format="10">
      <pivotArea type="data" outline="0" fieldPosition="0">
        <references count="2">
          <reference field="4294967294" count="1" selected="0">
            <x v="1"/>
          </reference>
          <reference field="9" count="1" selected="0">
            <x v="1"/>
          </reference>
        </references>
      </pivotArea>
    </chartFormat>
    <chartFormat chart="9" format="11">
      <pivotArea type="data" outline="0" fieldPosition="0">
        <references count="2">
          <reference field="4294967294" count="1" selected="0">
            <x v="1"/>
          </reference>
          <reference field="9" count="1" selected="0">
            <x v="2"/>
          </reference>
        </references>
      </pivotArea>
    </chartFormat>
    <chartFormat chart="12" format="24" series="1">
      <pivotArea type="data" outline="0" fieldPosition="0">
        <references count="1">
          <reference field="4294967294" count="1" selected="0">
            <x v="0"/>
          </reference>
        </references>
      </pivotArea>
    </chartFormat>
    <chartFormat chart="12" format="25">
      <pivotArea type="data" outline="0" fieldPosition="0">
        <references count="2">
          <reference field="4294967294" count="1" selected="0">
            <x v="0"/>
          </reference>
          <reference field="9" count="1" selected="0">
            <x v="1"/>
          </reference>
        </references>
      </pivotArea>
    </chartFormat>
    <chartFormat chart="12" format="26">
      <pivotArea type="data" outline="0" fieldPosition="0">
        <references count="2">
          <reference field="4294967294" count="1" selected="0">
            <x v="0"/>
          </reference>
          <reference field="9" count="1" selected="0">
            <x v="4"/>
          </reference>
        </references>
      </pivotArea>
    </chartFormat>
    <chartFormat chart="12" format="27">
      <pivotArea type="data" outline="0" fieldPosition="0">
        <references count="2">
          <reference field="4294967294" count="1" selected="0">
            <x v="0"/>
          </reference>
          <reference field="9" count="1" selected="0">
            <x v="0"/>
          </reference>
        </references>
      </pivotArea>
    </chartFormat>
    <chartFormat chart="12" format="28">
      <pivotArea type="data" outline="0" fieldPosition="0">
        <references count="2">
          <reference field="4294967294" count="1" selected="0">
            <x v="0"/>
          </reference>
          <reference field="9" count="1" selected="0">
            <x v="3"/>
          </reference>
        </references>
      </pivotArea>
    </chartFormat>
    <chartFormat chart="12" format="29">
      <pivotArea type="data" outline="0" fieldPosition="0">
        <references count="2">
          <reference field="4294967294" count="1" selected="0">
            <x v="0"/>
          </reference>
          <reference field="9" count="1" selected="0">
            <x v="2"/>
          </reference>
        </references>
      </pivotArea>
    </chartFormat>
    <chartFormat chart="12" format="30" series="1">
      <pivotArea type="data" outline="0" fieldPosition="0">
        <references count="1">
          <reference field="4294967294" count="1" selected="0">
            <x v="1"/>
          </reference>
        </references>
      </pivotArea>
    </chartFormat>
    <chartFormat chart="12" format="31">
      <pivotArea type="data" outline="0" fieldPosition="0">
        <references count="2">
          <reference field="4294967294" count="1" selected="0">
            <x v="1"/>
          </reference>
          <reference field="9" count="1" selected="0">
            <x v="1"/>
          </reference>
        </references>
      </pivotArea>
    </chartFormat>
    <chartFormat chart="12" format="32">
      <pivotArea type="data" outline="0" fieldPosition="0">
        <references count="2">
          <reference field="4294967294" count="1" selected="0">
            <x v="1"/>
          </reference>
          <reference field="9" count="1" selected="0">
            <x v="4"/>
          </reference>
        </references>
      </pivotArea>
    </chartFormat>
    <chartFormat chart="12" format="33">
      <pivotArea type="data" outline="0" fieldPosition="0">
        <references count="2">
          <reference field="4294967294" count="1" selected="0">
            <x v="1"/>
          </reference>
          <reference field="9" count="1" selected="0">
            <x v="0"/>
          </reference>
        </references>
      </pivotArea>
    </chartFormat>
    <chartFormat chart="12" format="34">
      <pivotArea type="data" outline="0" fieldPosition="0">
        <references count="2">
          <reference field="4294967294" count="1" selected="0">
            <x v="1"/>
          </reference>
          <reference field="9" count="1" selected="0">
            <x v="3"/>
          </reference>
        </references>
      </pivotArea>
    </chartFormat>
    <chartFormat chart="12" format="35">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9D8B6E-8D48-47D3-9177-0F0609AD3F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4">
    <pivotField showAll="0">
      <items count="8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showAll="0"/>
    <pivotField multipleItemSelectionAllowed="1" showAll="0">
      <items count="3">
        <item x="1"/>
        <item x="0"/>
        <item t="default"/>
      </items>
    </pivotField>
    <pivotField showAll="0">
      <items count="10">
        <item x="7"/>
        <item x="8"/>
        <item x="5"/>
        <item x="6"/>
        <item x="0"/>
        <item x="4"/>
        <item x="1"/>
        <item x="2"/>
        <item x="3"/>
        <item t="default"/>
      </items>
    </pivotField>
    <pivotField showAll="0" sortType="descending">
      <items count="5">
        <item x="3"/>
        <item x="2"/>
        <item x="1"/>
        <item x="0"/>
        <item t="default"/>
      </items>
    </pivotField>
    <pivotField showAll="0">
      <items count="462">
        <item x="398"/>
        <item x="185"/>
        <item x="298"/>
        <item x="102"/>
        <item x="439"/>
        <item x="423"/>
        <item x="38"/>
        <item x="130"/>
        <item x="133"/>
        <item x="273"/>
        <item x="299"/>
        <item x="74"/>
        <item x="156"/>
        <item x="457"/>
        <item x="379"/>
        <item x="190"/>
        <item x="72"/>
        <item x="23"/>
        <item x="119"/>
        <item x="77"/>
        <item x="456"/>
        <item x="187"/>
        <item x="200"/>
        <item x="33"/>
        <item x="447"/>
        <item x="148"/>
        <item x="178"/>
        <item x="67"/>
        <item x="85"/>
        <item x="208"/>
        <item x="16"/>
        <item x="104"/>
        <item x="395"/>
        <item x="170"/>
        <item x="279"/>
        <item x="180"/>
        <item x="448"/>
        <item x="224"/>
        <item x="115"/>
        <item x="116"/>
        <item x="196"/>
        <item x="314"/>
        <item x="310"/>
        <item x="113"/>
        <item x="246"/>
        <item x="378"/>
        <item x="138"/>
        <item x="223"/>
        <item x="297"/>
        <item x="201"/>
        <item x="174"/>
        <item x="101"/>
        <item x="363"/>
        <item x="372"/>
        <item x="332"/>
        <item x="459"/>
        <item x="309"/>
        <item x="141"/>
        <item x="8"/>
        <item x="381"/>
        <item x="61"/>
        <item x="287"/>
        <item x="305"/>
        <item x="99"/>
        <item x="250"/>
        <item x="140"/>
        <item x="377"/>
        <item x="131"/>
        <item x="426"/>
        <item x="354"/>
        <item x="255"/>
        <item x="20"/>
        <item x="114"/>
        <item x="336"/>
        <item x="147"/>
        <item x="27"/>
        <item x="376"/>
        <item x="453"/>
        <item x="68"/>
        <item x="351"/>
        <item x="26"/>
        <item x="358"/>
        <item x="153"/>
        <item x="237"/>
        <item x="321"/>
        <item x="270"/>
        <item x="335"/>
        <item x="344"/>
        <item x="360"/>
        <item x="142"/>
        <item x="0"/>
        <item x="320"/>
        <item x="152"/>
        <item x="155"/>
        <item x="71"/>
        <item x="361"/>
        <item x="13"/>
        <item x="242"/>
        <item x="258"/>
        <item x="424"/>
        <item x="393"/>
        <item x="161"/>
        <item x="118"/>
        <item x="408"/>
        <item x="216"/>
        <item x="89"/>
        <item x="117"/>
        <item x="193"/>
        <item x="317"/>
        <item x="167"/>
        <item x="55"/>
        <item x="347"/>
        <item x="188"/>
        <item x="281"/>
        <item x="194"/>
        <item x="403"/>
        <item x="134"/>
        <item x="409"/>
        <item x="239"/>
        <item x="176"/>
        <item x="97"/>
        <item x="107"/>
        <item x="169"/>
        <item x="418"/>
        <item x="42"/>
        <item x="110"/>
        <item x="66"/>
        <item x="198"/>
        <item x="441"/>
        <item x="396"/>
        <item x="290"/>
        <item x="460"/>
        <item x="59"/>
        <item x="217"/>
        <item x="25"/>
        <item x="387"/>
        <item x="342"/>
        <item x="207"/>
        <item x="350"/>
        <item x="449"/>
        <item x="69"/>
        <item x="303"/>
        <item x="432"/>
        <item x="295"/>
        <item x="125"/>
        <item x="302"/>
        <item x="165"/>
        <item x="247"/>
        <item x="382"/>
        <item x="226"/>
        <item x="137"/>
        <item x="323"/>
        <item x="43"/>
        <item x="211"/>
        <item x="210"/>
        <item x="416"/>
        <item x="442"/>
        <item x="123"/>
        <item x="263"/>
        <item x="434"/>
        <item x="330"/>
        <item x="166"/>
        <item x="98"/>
        <item x="62"/>
        <item x="333"/>
        <item x="443"/>
        <item x="230"/>
        <item x="103"/>
        <item x="345"/>
        <item x="17"/>
        <item x="45"/>
        <item x="36"/>
        <item x="455"/>
        <item x="274"/>
        <item x="259"/>
        <item x="256"/>
        <item x="22"/>
        <item x="30"/>
        <item x="83"/>
        <item x="414"/>
        <item x="109"/>
        <item x="127"/>
        <item x="129"/>
        <item x="63"/>
        <item x="177"/>
        <item x="308"/>
        <item x="241"/>
        <item x="356"/>
        <item x="203"/>
        <item x="268"/>
        <item x="64"/>
        <item x="32"/>
        <item x="57"/>
        <item x="365"/>
        <item x="4"/>
        <item x="86"/>
        <item x="253"/>
        <item x="428"/>
        <item x="11"/>
        <item x="341"/>
        <item x="235"/>
        <item x="221"/>
        <item x="40"/>
        <item x="265"/>
        <item x="331"/>
        <item x="238"/>
        <item x="340"/>
        <item x="150"/>
        <item x="362"/>
        <item x="151"/>
        <item x="154"/>
        <item x="225"/>
        <item x="76"/>
        <item x="37"/>
        <item x="433"/>
        <item x="364"/>
        <item x="417"/>
        <item x="284"/>
        <item x="355"/>
        <item x="1"/>
        <item x="58"/>
        <item x="212"/>
        <item x="202"/>
        <item x="425"/>
        <item x="339"/>
        <item x="88"/>
        <item x="10"/>
        <item x="325"/>
        <item x="373"/>
        <item x="206"/>
        <item x="15"/>
        <item x="3"/>
        <item x="446"/>
        <item x="444"/>
        <item x="6"/>
        <item x="415"/>
        <item x="215"/>
        <item x="254"/>
        <item x="218"/>
        <item x="368"/>
        <item x="366"/>
        <item x="197"/>
        <item x="100"/>
        <item x="267"/>
        <item x="173"/>
        <item x="46"/>
        <item x="276"/>
        <item x="146"/>
        <item x="49"/>
        <item x="121"/>
        <item x="264"/>
        <item x="112"/>
        <item x="262"/>
        <item x="288"/>
        <item x="389"/>
        <item x="371"/>
        <item x="105"/>
        <item x="272"/>
        <item x="318"/>
        <item x="326"/>
        <item x="266"/>
        <item x="12"/>
        <item x="430"/>
        <item x="293"/>
        <item x="65"/>
        <item x="260"/>
        <item x="285"/>
        <item x="384"/>
        <item x="53"/>
        <item x="357"/>
        <item x="70"/>
        <item x="172"/>
        <item x="9"/>
        <item x="124"/>
        <item x="35"/>
        <item x="445"/>
        <item x="294"/>
        <item x="228"/>
        <item x="213"/>
        <item x="51"/>
        <item x="149"/>
        <item x="286"/>
        <item x="402"/>
        <item x="406"/>
        <item x="440"/>
        <item x="52"/>
        <item x="251"/>
        <item x="143"/>
        <item x="7"/>
        <item x="316"/>
        <item x="111"/>
        <item x="327"/>
        <item x="209"/>
        <item x="390"/>
        <item x="171"/>
        <item x="245"/>
        <item x="128"/>
        <item x="348"/>
        <item x="75"/>
        <item x="220"/>
        <item x="96"/>
        <item x="199"/>
        <item x="248"/>
        <item x="383"/>
        <item x="291"/>
        <item x="283"/>
        <item x="135"/>
        <item x="179"/>
        <item x="421"/>
        <item x="271"/>
        <item x="397"/>
        <item x="311"/>
        <item x="337"/>
        <item x="282"/>
        <item x="359"/>
        <item x="28"/>
        <item x="407"/>
        <item x="240"/>
        <item x="157"/>
        <item x="21"/>
        <item x="214"/>
        <item x="392"/>
        <item x="437"/>
        <item x="450"/>
        <item x="427"/>
        <item x="315"/>
        <item x="186"/>
        <item x="451"/>
        <item x="93"/>
        <item x="231"/>
        <item x="380"/>
        <item x="324"/>
        <item x="454"/>
        <item x="81"/>
        <item x="252"/>
        <item x="367"/>
        <item x="181"/>
        <item x="328"/>
        <item x="329"/>
        <item x="412"/>
        <item x="391"/>
        <item x="429"/>
        <item x="422"/>
        <item x="34"/>
        <item x="29"/>
        <item x="312"/>
        <item x="44"/>
        <item x="292"/>
        <item x="244"/>
        <item x="219"/>
        <item x="79"/>
        <item x="94"/>
        <item x="232"/>
        <item x="301"/>
        <item x="236"/>
        <item x="249"/>
        <item x="349"/>
        <item x="126"/>
        <item x="275"/>
        <item x="73"/>
        <item x="334"/>
        <item x="80"/>
        <item x="306"/>
        <item x="280"/>
        <item x="144"/>
        <item x="204"/>
        <item x="438"/>
        <item x="54"/>
        <item x="413"/>
        <item x="338"/>
        <item x="5"/>
        <item x="168"/>
        <item x="164"/>
        <item x="95"/>
        <item x="400"/>
        <item x="304"/>
        <item x="162"/>
        <item x="136"/>
        <item x="106"/>
        <item x="14"/>
        <item x="24"/>
        <item x="234"/>
        <item x="411"/>
        <item x="404"/>
        <item x="84"/>
        <item x="87"/>
        <item x="385"/>
        <item x="91"/>
        <item x="374"/>
        <item x="353"/>
        <item x="394"/>
        <item x="319"/>
        <item x="269"/>
        <item x="48"/>
        <item x="145"/>
        <item x="300"/>
        <item x="322"/>
        <item x="278"/>
        <item x="313"/>
        <item x="50"/>
        <item x="56"/>
        <item x="78"/>
        <item x="458"/>
        <item x="120"/>
        <item x="346"/>
        <item x="2"/>
        <item x="139"/>
        <item x="452"/>
        <item x="233"/>
        <item x="90"/>
        <item x="192"/>
        <item x="18"/>
        <item x="19"/>
        <item x="257"/>
        <item x="159"/>
        <item x="289"/>
        <item x="195"/>
        <item x="108"/>
        <item x="410"/>
        <item x="183"/>
        <item x="435"/>
        <item x="399"/>
        <item x="205"/>
        <item x="229"/>
        <item x="175"/>
        <item x="431"/>
        <item x="243"/>
        <item x="132"/>
        <item x="227"/>
        <item x="405"/>
        <item x="122"/>
        <item x="436"/>
        <item x="343"/>
        <item x="82"/>
        <item x="420"/>
        <item x="92"/>
        <item x="189"/>
        <item x="31"/>
        <item x="296"/>
        <item x="370"/>
        <item x="375"/>
        <item x="41"/>
        <item x="401"/>
        <item x="261"/>
        <item x="182"/>
        <item x="163"/>
        <item x="369"/>
        <item x="307"/>
        <item x="160"/>
        <item x="419"/>
        <item x="39"/>
        <item x="60"/>
        <item x="158"/>
        <item x="386"/>
        <item x="277"/>
        <item x="47"/>
        <item x="184"/>
        <item x="191"/>
        <item x="222"/>
        <item x="352"/>
        <item x="388"/>
        <item t="default"/>
      </items>
    </pivotField>
    <pivotField showAll="0"/>
    <pivotField showAll="0"/>
    <pivotField axis="axisRow" showAll="0">
      <items count="4">
        <item x="0"/>
        <item x="2"/>
        <item x="1"/>
        <item t="default"/>
      </items>
    </pivotField>
    <pivotField showAll="0">
      <items count="6">
        <item x="4"/>
        <item x="3"/>
        <item x="0"/>
        <item x="2"/>
        <item x="1"/>
        <item t="default"/>
      </items>
    </pivotField>
    <pivotField showAll="0"/>
    <pivotField showAll="0"/>
    <pivotField dataField="1" showAll="0">
      <items count="67">
        <item x="65"/>
        <item x="15"/>
        <item x="31"/>
        <item x="52"/>
        <item x="49"/>
        <item x="11"/>
        <item x="13"/>
        <item x="56"/>
        <item x="4"/>
        <item x="22"/>
        <item x="35"/>
        <item x="63"/>
        <item x="40"/>
        <item x="23"/>
        <item x="55"/>
        <item x="3"/>
        <item x="60"/>
        <item x="19"/>
        <item x="44"/>
        <item x="5"/>
        <item x="8"/>
        <item x="27"/>
        <item x="10"/>
        <item x="2"/>
        <item x="59"/>
        <item x="14"/>
        <item x="29"/>
        <item x="21"/>
        <item x="36"/>
        <item x="58"/>
        <item x="41"/>
        <item x="30"/>
        <item x="25"/>
        <item x="17"/>
        <item x="6"/>
        <item x="39"/>
        <item x="62"/>
        <item x="0"/>
        <item x="37"/>
        <item x="32"/>
        <item x="26"/>
        <item x="64"/>
        <item x="45"/>
        <item x="18"/>
        <item x="61"/>
        <item x="7"/>
        <item x="53"/>
        <item x="54"/>
        <item x="46"/>
        <item x="43"/>
        <item x="24"/>
        <item x="42"/>
        <item x="57"/>
        <item x="47"/>
        <item x="12"/>
        <item x="20"/>
        <item x="9"/>
        <item x="38"/>
        <item x="33"/>
        <item x="28"/>
        <item x="50"/>
        <item x="1"/>
        <item x="51"/>
        <item x="48"/>
        <item x="16"/>
        <item x="34"/>
        <item t="default"/>
      </items>
    </pivotField>
    <pivotField showAll="0"/>
  </pivotFields>
  <rowFields count="1">
    <field x="8"/>
  </rowFields>
  <rowItems count="4">
    <i>
      <x/>
    </i>
    <i>
      <x v="1"/>
    </i>
    <i>
      <x v="2"/>
    </i>
    <i t="grand">
      <x/>
    </i>
  </rowItems>
  <colItems count="1">
    <i/>
  </colItems>
  <dataFields count="1">
    <dataField name="Sum of Sleep_Hours" fld="12" baseField="8" baseItem="0" numFmtId="164"/>
  </dataFields>
  <formats count="1">
    <format dxfId="1">
      <pivotArea outline="0" collapsedLevelsAreSubtotals="1" fieldPosition="0"/>
    </format>
  </formats>
  <chartFormats count="8">
    <chartFormat chart="1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8" count="1" selected="0">
            <x v="0"/>
          </reference>
        </references>
      </pivotArea>
    </chartFormat>
    <chartFormat chart="13" format="7">
      <pivotArea type="data" outline="0" fieldPosition="0">
        <references count="2">
          <reference field="4294967294" count="1" selected="0">
            <x v="0"/>
          </reference>
          <reference field="8" count="1" selected="0">
            <x v="1"/>
          </reference>
        </references>
      </pivotArea>
    </chartFormat>
    <chartFormat chart="13" format="8">
      <pivotArea type="data" outline="0" fieldPosition="0">
        <references count="2">
          <reference field="4294967294" count="1" selected="0">
            <x v="0"/>
          </reference>
          <reference field="8" count="1" selected="0">
            <x v="2"/>
          </reference>
        </references>
      </pivotArea>
    </chartFormat>
    <chartFormat chart="10" format="1">
      <pivotArea type="data" outline="0" fieldPosition="0">
        <references count="2">
          <reference field="4294967294" count="1" selected="0">
            <x v="0"/>
          </reference>
          <reference field="8" count="1" selected="0">
            <x v="0"/>
          </reference>
        </references>
      </pivotArea>
    </chartFormat>
    <chartFormat chart="10" format="2">
      <pivotArea type="data" outline="0" fieldPosition="0">
        <references count="2">
          <reference field="4294967294" count="1" selected="0">
            <x v="0"/>
          </reference>
          <reference field="8" count="1" selected="0">
            <x v="1"/>
          </reference>
        </references>
      </pivotArea>
    </chartFormat>
    <chartFormat chart="1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47BD33-496B-4042-91D6-C820977E94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4" firstHeaderRow="0" firstDataRow="1" firstDataCol="0"/>
  <pivotFields count="14">
    <pivotField showAll="0">
      <items count="8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t="default"/>
      </items>
    </pivotField>
    <pivotField showAll="0"/>
    <pivotField multipleItemSelectionAllowed="1" showAll="0">
      <items count="3">
        <item x="1"/>
        <item x="0"/>
        <item t="default"/>
      </items>
    </pivotField>
    <pivotField showAll="0">
      <items count="10">
        <item x="7"/>
        <item x="8"/>
        <item x="5"/>
        <item x="6"/>
        <item x="0"/>
        <item x="4"/>
        <item x="1"/>
        <item x="2"/>
        <item x="3"/>
        <item t="default"/>
      </items>
    </pivotField>
    <pivotField showAll="0" sortType="descending">
      <items count="5">
        <item x="3"/>
        <item x="2"/>
        <item x="1"/>
        <item x="0"/>
        <item t="default"/>
      </items>
    </pivotField>
    <pivotField dataField="1" showAll="0">
      <items count="462">
        <item x="398"/>
        <item x="185"/>
        <item x="298"/>
        <item x="102"/>
        <item x="439"/>
        <item x="423"/>
        <item x="38"/>
        <item x="130"/>
        <item x="133"/>
        <item x="273"/>
        <item x="299"/>
        <item x="74"/>
        <item x="156"/>
        <item x="457"/>
        <item x="379"/>
        <item x="190"/>
        <item x="72"/>
        <item x="23"/>
        <item x="119"/>
        <item x="77"/>
        <item x="456"/>
        <item x="187"/>
        <item x="200"/>
        <item x="33"/>
        <item x="447"/>
        <item x="148"/>
        <item x="178"/>
        <item x="67"/>
        <item x="85"/>
        <item x="208"/>
        <item x="16"/>
        <item x="104"/>
        <item x="395"/>
        <item x="170"/>
        <item x="279"/>
        <item x="180"/>
        <item x="448"/>
        <item x="224"/>
        <item x="115"/>
        <item x="116"/>
        <item x="196"/>
        <item x="314"/>
        <item x="310"/>
        <item x="113"/>
        <item x="246"/>
        <item x="378"/>
        <item x="138"/>
        <item x="223"/>
        <item x="297"/>
        <item x="201"/>
        <item x="174"/>
        <item x="101"/>
        <item x="363"/>
        <item x="372"/>
        <item x="332"/>
        <item x="459"/>
        <item x="309"/>
        <item x="141"/>
        <item x="8"/>
        <item x="381"/>
        <item x="61"/>
        <item x="287"/>
        <item x="305"/>
        <item x="99"/>
        <item x="250"/>
        <item x="140"/>
        <item x="377"/>
        <item x="131"/>
        <item x="426"/>
        <item x="354"/>
        <item x="255"/>
        <item x="20"/>
        <item x="114"/>
        <item x="336"/>
        <item x="147"/>
        <item x="27"/>
        <item x="376"/>
        <item x="453"/>
        <item x="68"/>
        <item x="351"/>
        <item x="26"/>
        <item x="358"/>
        <item x="153"/>
        <item x="237"/>
        <item x="321"/>
        <item x="270"/>
        <item x="335"/>
        <item x="344"/>
        <item x="360"/>
        <item x="142"/>
        <item x="0"/>
        <item x="320"/>
        <item x="152"/>
        <item x="155"/>
        <item x="71"/>
        <item x="361"/>
        <item x="13"/>
        <item x="242"/>
        <item x="258"/>
        <item x="424"/>
        <item x="393"/>
        <item x="161"/>
        <item x="118"/>
        <item x="408"/>
        <item x="216"/>
        <item x="89"/>
        <item x="117"/>
        <item x="193"/>
        <item x="317"/>
        <item x="167"/>
        <item x="55"/>
        <item x="347"/>
        <item x="188"/>
        <item x="281"/>
        <item x="194"/>
        <item x="403"/>
        <item x="134"/>
        <item x="409"/>
        <item x="239"/>
        <item x="176"/>
        <item x="97"/>
        <item x="107"/>
        <item x="169"/>
        <item x="418"/>
        <item x="42"/>
        <item x="110"/>
        <item x="66"/>
        <item x="198"/>
        <item x="441"/>
        <item x="396"/>
        <item x="290"/>
        <item x="460"/>
        <item x="59"/>
        <item x="217"/>
        <item x="25"/>
        <item x="387"/>
        <item x="342"/>
        <item x="207"/>
        <item x="350"/>
        <item x="449"/>
        <item x="69"/>
        <item x="303"/>
        <item x="432"/>
        <item x="295"/>
        <item x="125"/>
        <item x="302"/>
        <item x="165"/>
        <item x="247"/>
        <item x="382"/>
        <item x="226"/>
        <item x="137"/>
        <item x="323"/>
        <item x="43"/>
        <item x="211"/>
        <item x="210"/>
        <item x="416"/>
        <item x="442"/>
        <item x="123"/>
        <item x="263"/>
        <item x="434"/>
        <item x="330"/>
        <item x="166"/>
        <item x="98"/>
        <item x="62"/>
        <item x="333"/>
        <item x="443"/>
        <item x="230"/>
        <item x="103"/>
        <item x="345"/>
        <item x="17"/>
        <item x="45"/>
        <item x="36"/>
        <item x="455"/>
        <item x="274"/>
        <item x="259"/>
        <item x="256"/>
        <item x="22"/>
        <item x="30"/>
        <item x="83"/>
        <item x="414"/>
        <item x="109"/>
        <item x="127"/>
        <item x="129"/>
        <item x="63"/>
        <item x="177"/>
        <item x="308"/>
        <item x="241"/>
        <item x="356"/>
        <item x="203"/>
        <item x="268"/>
        <item x="64"/>
        <item x="32"/>
        <item x="57"/>
        <item x="365"/>
        <item x="4"/>
        <item x="86"/>
        <item x="253"/>
        <item x="428"/>
        <item x="11"/>
        <item x="341"/>
        <item x="235"/>
        <item x="221"/>
        <item x="40"/>
        <item x="265"/>
        <item x="331"/>
        <item x="238"/>
        <item x="340"/>
        <item x="150"/>
        <item x="362"/>
        <item x="151"/>
        <item x="154"/>
        <item x="225"/>
        <item x="76"/>
        <item x="37"/>
        <item x="433"/>
        <item x="364"/>
        <item x="417"/>
        <item x="284"/>
        <item x="355"/>
        <item x="1"/>
        <item x="58"/>
        <item x="212"/>
        <item x="202"/>
        <item x="425"/>
        <item x="339"/>
        <item x="88"/>
        <item x="10"/>
        <item x="325"/>
        <item x="373"/>
        <item x="206"/>
        <item x="15"/>
        <item x="3"/>
        <item x="446"/>
        <item x="444"/>
        <item x="6"/>
        <item x="415"/>
        <item x="215"/>
        <item x="254"/>
        <item x="218"/>
        <item x="368"/>
        <item x="366"/>
        <item x="197"/>
        <item x="100"/>
        <item x="267"/>
        <item x="173"/>
        <item x="46"/>
        <item x="276"/>
        <item x="146"/>
        <item x="49"/>
        <item x="121"/>
        <item x="264"/>
        <item x="112"/>
        <item x="262"/>
        <item x="288"/>
        <item x="389"/>
        <item x="371"/>
        <item x="105"/>
        <item x="272"/>
        <item x="318"/>
        <item x="326"/>
        <item x="266"/>
        <item x="12"/>
        <item x="430"/>
        <item x="293"/>
        <item x="65"/>
        <item x="260"/>
        <item x="285"/>
        <item x="384"/>
        <item x="53"/>
        <item x="357"/>
        <item x="70"/>
        <item x="172"/>
        <item x="9"/>
        <item x="124"/>
        <item x="35"/>
        <item x="445"/>
        <item x="294"/>
        <item x="228"/>
        <item x="213"/>
        <item x="51"/>
        <item x="149"/>
        <item x="286"/>
        <item x="402"/>
        <item x="406"/>
        <item x="440"/>
        <item x="52"/>
        <item x="251"/>
        <item x="143"/>
        <item x="7"/>
        <item x="316"/>
        <item x="111"/>
        <item x="327"/>
        <item x="209"/>
        <item x="390"/>
        <item x="171"/>
        <item x="245"/>
        <item x="128"/>
        <item x="348"/>
        <item x="75"/>
        <item x="220"/>
        <item x="96"/>
        <item x="199"/>
        <item x="248"/>
        <item x="383"/>
        <item x="291"/>
        <item x="283"/>
        <item x="135"/>
        <item x="179"/>
        <item x="421"/>
        <item x="271"/>
        <item x="397"/>
        <item x="311"/>
        <item x="337"/>
        <item x="282"/>
        <item x="359"/>
        <item x="28"/>
        <item x="407"/>
        <item x="240"/>
        <item x="157"/>
        <item x="21"/>
        <item x="214"/>
        <item x="392"/>
        <item x="437"/>
        <item x="450"/>
        <item x="427"/>
        <item x="315"/>
        <item x="186"/>
        <item x="451"/>
        <item x="93"/>
        <item x="231"/>
        <item x="380"/>
        <item x="324"/>
        <item x="454"/>
        <item x="81"/>
        <item x="252"/>
        <item x="367"/>
        <item x="181"/>
        <item x="328"/>
        <item x="329"/>
        <item x="412"/>
        <item x="391"/>
        <item x="429"/>
        <item x="422"/>
        <item x="34"/>
        <item x="29"/>
        <item x="312"/>
        <item x="44"/>
        <item x="292"/>
        <item x="244"/>
        <item x="219"/>
        <item x="79"/>
        <item x="94"/>
        <item x="232"/>
        <item x="301"/>
        <item x="236"/>
        <item x="249"/>
        <item x="349"/>
        <item x="126"/>
        <item x="275"/>
        <item x="73"/>
        <item x="334"/>
        <item x="80"/>
        <item x="306"/>
        <item x="280"/>
        <item x="144"/>
        <item x="204"/>
        <item x="438"/>
        <item x="54"/>
        <item x="413"/>
        <item x="338"/>
        <item x="5"/>
        <item x="168"/>
        <item x="164"/>
        <item x="95"/>
        <item x="400"/>
        <item x="304"/>
        <item x="162"/>
        <item x="136"/>
        <item x="106"/>
        <item x="14"/>
        <item x="24"/>
        <item x="234"/>
        <item x="411"/>
        <item x="404"/>
        <item x="84"/>
        <item x="87"/>
        <item x="385"/>
        <item x="91"/>
        <item x="374"/>
        <item x="353"/>
        <item x="394"/>
        <item x="319"/>
        <item x="269"/>
        <item x="48"/>
        <item x="145"/>
        <item x="300"/>
        <item x="322"/>
        <item x="278"/>
        <item x="313"/>
        <item x="50"/>
        <item x="56"/>
        <item x="78"/>
        <item x="458"/>
        <item x="120"/>
        <item x="346"/>
        <item x="2"/>
        <item x="139"/>
        <item x="452"/>
        <item x="233"/>
        <item x="90"/>
        <item x="192"/>
        <item x="18"/>
        <item x="19"/>
        <item x="257"/>
        <item x="159"/>
        <item x="289"/>
        <item x="195"/>
        <item x="108"/>
        <item x="410"/>
        <item x="183"/>
        <item x="435"/>
        <item x="399"/>
        <item x="205"/>
        <item x="229"/>
        <item x="175"/>
        <item x="431"/>
        <item x="243"/>
        <item x="132"/>
        <item x="227"/>
        <item x="405"/>
        <item x="122"/>
        <item x="436"/>
        <item x="343"/>
        <item x="82"/>
        <item x="420"/>
        <item x="92"/>
        <item x="189"/>
        <item x="31"/>
        <item x="296"/>
        <item x="370"/>
        <item x="375"/>
        <item x="41"/>
        <item x="401"/>
        <item x="261"/>
        <item x="182"/>
        <item x="163"/>
        <item x="369"/>
        <item x="307"/>
        <item x="160"/>
        <item x="419"/>
        <item x="39"/>
        <item x="60"/>
        <item x="158"/>
        <item x="386"/>
        <item x="277"/>
        <item x="47"/>
        <item x="184"/>
        <item x="191"/>
        <item x="222"/>
        <item x="352"/>
        <item x="388"/>
        <item t="default"/>
      </items>
    </pivotField>
    <pivotField showAll="0"/>
    <pivotField dataField="1" showAll="0"/>
    <pivotField showAll="0">
      <items count="4">
        <item x="0"/>
        <item x="2"/>
        <item x="1"/>
        <item t="default"/>
      </items>
    </pivotField>
    <pivotField showAll="0">
      <items count="6">
        <item x="4"/>
        <item x="3"/>
        <item x="0"/>
        <item x="2"/>
        <item x="1"/>
        <item t="default"/>
      </items>
    </pivotField>
    <pivotField dataField="1" showAll="0"/>
    <pivotField dataField="1" showAll="0"/>
    <pivotField dataField="1" showAll="0">
      <items count="67">
        <item x="65"/>
        <item x="15"/>
        <item x="31"/>
        <item x="52"/>
        <item x="49"/>
        <item x="11"/>
        <item x="13"/>
        <item x="56"/>
        <item x="4"/>
        <item x="22"/>
        <item x="35"/>
        <item x="63"/>
        <item x="40"/>
        <item x="23"/>
        <item x="55"/>
        <item x="3"/>
        <item x="60"/>
        <item x="19"/>
        <item x="44"/>
        <item x="5"/>
        <item x="8"/>
        <item x="27"/>
        <item x="10"/>
        <item x="2"/>
        <item x="59"/>
        <item x="14"/>
        <item x="29"/>
        <item x="21"/>
        <item x="36"/>
        <item x="58"/>
        <item x="41"/>
        <item x="30"/>
        <item x="25"/>
        <item x="17"/>
        <item x="6"/>
        <item x="39"/>
        <item x="62"/>
        <item x="0"/>
        <item x="37"/>
        <item x="32"/>
        <item x="26"/>
        <item x="64"/>
        <item x="45"/>
        <item x="18"/>
        <item x="61"/>
        <item x="7"/>
        <item x="53"/>
        <item x="54"/>
        <item x="46"/>
        <item x="43"/>
        <item x="24"/>
        <item x="42"/>
        <item x="57"/>
        <item x="47"/>
        <item x="12"/>
        <item x="20"/>
        <item x="9"/>
        <item x="38"/>
        <item x="33"/>
        <item x="28"/>
        <item x="50"/>
        <item x="1"/>
        <item x="51"/>
        <item x="48"/>
        <item x="16"/>
        <item x="34"/>
        <item t="default"/>
      </items>
    </pivotField>
    <pivotField showAll="0"/>
  </pivotFields>
  <rowItems count="1">
    <i/>
  </rowItems>
  <colFields count="1">
    <field x="-2"/>
  </colFields>
  <colItems count="5">
    <i>
      <x/>
    </i>
    <i i="1">
      <x v="1"/>
    </i>
    <i i="2">
      <x v="2"/>
    </i>
    <i i="3">
      <x v="3"/>
    </i>
    <i i="4">
      <x v="4"/>
    </i>
  </colItems>
  <dataFields count="5">
    <dataField name="Average of CGPA" fld="5" subtotal="average" baseField="0" baseItem="0"/>
    <dataField name="Average of Attendance_%" fld="7" subtotal="average" baseField="0" baseItem="1"/>
    <dataField name="Average of Sleep_Hours" fld="12" subtotal="average" baseField="0" baseItem="1"/>
    <dataField name="Average of Social_Media_Usage_hrs" fld="10" subtotal="average" baseField="0" baseItem="1"/>
    <dataField name="Average of Career_Anxiety_Level" fld="11" subtotal="average" baseField="0" baseItem="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BCBEFD-409F-4827-ACAE-2E3DCE5157AF}" sourceName="Gender">
  <pivotTables>
    <pivotTable tabId="7" name="PivotTable4"/>
    <pivotTable tabId="3" name="PivotTable3"/>
    <pivotTable tabId="4" name="PivotTable3"/>
    <pivotTable tabId="5" name="PivotTable3"/>
    <pivotTable tabId="6" name="PivotTable3"/>
    <pivotTable tabId="2" name="PivotTable3"/>
  </pivotTables>
  <data>
    <tabular pivotCacheId="19493682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F4AE50DF-F528-4692-AF66-3CEA58A25331}" sourceName="Course">
  <pivotTables>
    <pivotTable tabId="7" name="PivotTable4"/>
    <pivotTable tabId="3" name="PivotTable3"/>
    <pivotTable tabId="4" name="PivotTable3"/>
    <pivotTable tabId="5" name="PivotTable3"/>
    <pivotTable tabId="6" name="PivotTable3"/>
    <pivotTable tabId="2" name="PivotTable3"/>
  </pivotTables>
  <data>
    <tabular pivotCacheId="1949368207">
      <items count="9">
        <i x="7" s="1"/>
        <i x="8" s="1"/>
        <i x="5" s="1"/>
        <i x="6" s="1"/>
        <i x="0" s="1"/>
        <i x="4"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ving_Type" xr10:uid="{D7EEC286-AE0B-4241-8ED6-479F0E514681}" sourceName="Living_Type">
  <pivotTables>
    <pivotTable tabId="7" name="PivotTable4"/>
    <pivotTable tabId="3" name="PivotTable3"/>
    <pivotTable tabId="4" name="PivotTable3"/>
    <pivotTable tabId="5" name="PivotTable3"/>
    <pivotTable tabId="6" name="PivotTable3"/>
    <pivotTable tabId="2" name="PivotTable3"/>
  </pivotTables>
  <data>
    <tabular pivotCacheId="194936820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ub_Participation" xr10:uid="{8860BD96-402C-4E68-A0D0-05AAD815FF30}" sourceName="Club_Participation">
  <pivotTables>
    <pivotTable tabId="7" name="PivotTable4"/>
    <pivotTable tabId="3" name="PivotTable3"/>
    <pivotTable tabId="4" name="PivotTable3"/>
    <pivotTable tabId="5" name="PivotTable3"/>
    <pivotTable tabId="6" name="PivotTable3"/>
    <pivotTable tabId="2" name="PivotTable3"/>
  </pivotTables>
  <data>
    <tabular pivotCacheId="1949368207">
      <items count="5">
        <i x="4" s="1"/>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Study" xr10:uid="{F520AA60-DFD5-4CB5-8D39-DBEFB8F51434}" sourceName="Year_of_Study">
  <pivotTables>
    <pivotTable tabId="7" name="PivotTable4"/>
    <pivotTable tabId="3" name="PivotTable3"/>
    <pivotTable tabId="4" name="PivotTable3"/>
    <pivotTable tabId="5" name="PivotTable3"/>
    <pivotTable tabId="6" name="PivotTable3"/>
    <pivotTable tabId="2" name="PivotTable3"/>
  </pivotTables>
  <data>
    <tabular pivotCacheId="194936820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28414EA-C810-45F7-A9AB-ADDECBBA1A3E}" cache="Slicer_Gender" caption="Gender" rowHeight="234950"/>
  <slicer name="Course" xr10:uid="{244E7205-B57C-4FAE-A099-7D8F3AFE3B68}" cache="Slicer_Course" caption="Course" startItem="2" rowHeight="234950"/>
  <slicer name="Living_Type" xr10:uid="{F3F5619B-2C13-4B45-B97D-01558471F5D6}" cache="Slicer_Living_Type" caption="Living_Type" rowHeight="234950"/>
  <slicer name="Club_Participation" xr10:uid="{DACE66CA-1535-412C-AEC7-5EA30F363582}" cache="Slicer_Club_Participation" caption="Club_Participation" rowHeight="234950"/>
  <slicer name="Year_of_Study" xr10:uid="{CAE5FB2D-56EE-414A-8C14-776E8274C004}" cache="Slicer_Year_of_Study" caption="Year_of_Stud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7D36DCE-127B-4AC5-B915-7CDC59F89230}" cache="Slicer_Gender" caption="Gender" rowHeight="234950"/>
  <slicer name="Course 1" xr10:uid="{C94DB0C2-27C2-46BD-A0D1-2ED1ACDBCD14}" cache="Slicer_Course" caption="Course" style="SlicerStyleLight3" rowHeight="234950"/>
  <slicer name="Living_Type 1" xr10:uid="{DF5E30FA-B061-4876-889E-DEC63C758C47}" cache="Slicer_Living_Type" caption="Living_Type" rowHeight="234950"/>
  <slicer name="Club_Participation 1" xr10:uid="{48E09E18-0E93-4380-BB78-8557DBC1EAB5}" cache="Slicer_Club_Participation" caption="Club_Participation" rowHeight="234950"/>
  <slicer name="Year_of_Study 1" xr10:uid="{97124B7F-C2B1-470A-9B0C-93B2EBB68015}" cache="Slicer_Year_of_Study" caption="Year_of_Stud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68D7BC-677B-477A-80C1-67E273C0B41A}" name="Table1" displayName="Table1" ref="A1:N896" totalsRowShown="0">
  <autoFilter ref="A1:N896" xr:uid="{1868D7BC-677B-477A-80C1-67E273C0B41A}"/>
  <tableColumns count="14">
    <tableColumn id="1" xr3:uid="{2D560911-7250-449E-8195-30017FE7AFD6}" name="Student_ID"/>
    <tableColumn id="2" xr3:uid="{0028D106-6966-4241-AB99-A259AD312FAE}" name="Age"/>
    <tableColumn id="3" xr3:uid="{92C98047-5409-4833-AFDD-EE7B05E083A5}" name="Gender"/>
    <tableColumn id="4" xr3:uid="{FC3AA761-D710-48BC-9CC0-B766B8CDE02E}" name="Course"/>
    <tableColumn id="5" xr3:uid="{D146AB2F-FB81-403E-9ABF-DA93F73F430A}" name="Year_of_Study"/>
    <tableColumn id="6" xr3:uid="{97E36A71-FDC7-4509-A055-F0755BD940E3}" name="CGPA"/>
    <tableColumn id="7" xr3:uid="{FF7CDB40-28F0-4B16-B3E7-936BE7183443}" name="Exam_Frequency"/>
    <tableColumn id="8" xr3:uid="{242A0ABB-346D-4C43-9E0A-6E52CE384C1C}" name="Attendance_%"/>
    <tableColumn id="9" xr3:uid="{2C559EA7-9ABE-4B8D-BA6B-A5EF737A1AC2}" name="Living_Type"/>
    <tableColumn id="10" xr3:uid="{5B19EF26-7608-4238-AFCA-504A5566507C}" name="Club_Participation"/>
    <tableColumn id="11" xr3:uid="{5DBC8CF8-8AEA-4FF6-BC3D-149F09FCBB34}" name="Social_Media_Usage_hrs"/>
    <tableColumn id="12" xr3:uid="{A949E1D3-2A06-48F2-84BA-CA6CA53CD057}" name="Career_Anxiety_Level"/>
    <tableColumn id="13" xr3:uid="{0DF7693E-81BB-4ED4-B5DF-B8DC456996DB}" name="Sleep_Hours"/>
    <tableColumn id="14" xr3:uid="{C2AE4522-ED6A-404D-8A63-67CF8122DB25}" name="Counseling_Acce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E95D9-F0C7-4A3D-B68D-1A9DBCE71254}">
  <dimension ref="A1:N896"/>
  <sheetViews>
    <sheetView topLeftCell="A2" workbookViewId="0">
      <selection activeCell="B11" sqref="B11"/>
    </sheetView>
  </sheetViews>
  <sheetFormatPr defaultRowHeight="14.4" x14ac:dyDescent="0.3"/>
  <cols>
    <col min="1" max="1" width="12.33203125" customWidth="1"/>
    <col min="2" max="2" width="6.109375" customWidth="1"/>
    <col min="3" max="3" width="9" customWidth="1"/>
    <col min="4" max="4" width="8.6640625" customWidth="1"/>
    <col min="5" max="5" width="15.21875" customWidth="1"/>
    <col min="6" max="6" width="7.5546875" customWidth="1"/>
    <col min="7" max="7" width="17.21875" customWidth="1"/>
    <col min="8" max="8" width="15.109375" customWidth="1"/>
    <col min="9" max="9" width="12.88671875" customWidth="1"/>
    <col min="10" max="10" width="18.33203125" customWidth="1"/>
    <col min="11" max="11" width="23.77734375" customWidth="1"/>
    <col min="12" max="12" width="21" customWidth="1"/>
    <col min="13" max="13" width="13.33203125" customWidth="1"/>
    <col min="14" max="14" width="18.66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v>27</v>
      </c>
      <c r="C2" t="s">
        <v>15</v>
      </c>
      <c r="D2" t="s">
        <v>16</v>
      </c>
      <c r="E2">
        <v>1</v>
      </c>
      <c r="F2">
        <v>5.12</v>
      </c>
      <c r="G2">
        <v>5</v>
      </c>
      <c r="H2">
        <v>89</v>
      </c>
      <c r="I2" t="s">
        <v>17</v>
      </c>
      <c r="J2" t="s">
        <v>18</v>
      </c>
      <c r="K2">
        <v>3.6</v>
      </c>
      <c r="L2">
        <v>2</v>
      </c>
      <c r="M2">
        <v>7.2</v>
      </c>
      <c r="N2" t="s">
        <v>19</v>
      </c>
    </row>
    <row r="3" spans="1:14" x14ac:dyDescent="0.3">
      <c r="A3" t="s">
        <v>20</v>
      </c>
      <c r="B3">
        <v>18</v>
      </c>
      <c r="C3" t="s">
        <v>21</v>
      </c>
      <c r="D3" t="s">
        <v>22</v>
      </c>
      <c r="E3">
        <v>1</v>
      </c>
      <c r="F3">
        <v>6.85</v>
      </c>
      <c r="G3">
        <v>5</v>
      </c>
      <c r="H3">
        <v>58.6</v>
      </c>
      <c r="I3" t="s">
        <v>17</v>
      </c>
      <c r="J3" t="s">
        <v>23</v>
      </c>
      <c r="K3">
        <v>4</v>
      </c>
      <c r="L3">
        <v>10</v>
      </c>
      <c r="M3">
        <v>9.6</v>
      </c>
      <c r="N3" t="s">
        <v>24</v>
      </c>
    </row>
    <row r="4" spans="1:14" x14ac:dyDescent="0.3">
      <c r="A4" t="s">
        <v>25</v>
      </c>
      <c r="B4">
        <v>27</v>
      </c>
      <c r="C4" t="s">
        <v>21</v>
      </c>
      <c r="D4" t="s">
        <v>26</v>
      </c>
      <c r="E4">
        <v>2</v>
      </c>
      <c r="F4">
        <v>9.31</v>
      </c>
      <c r="G4">
        <v>7</v>
      </c>
      <c r="H4">
        <v>79.599999999999994</v>
      </c>
      <c r="I4" t="s">
        <v>27</v>
      </c>
      <c r="J4" t="s">
        <v>18</v>
      </c>
      <c r="K4">
        <v>1.2</v>
      </c>
      <c r="L4">
        <v>5</v>
      </c>
      <c r="M4">
        <v>5.8</v>
      </c>
      <c r="N4" t="s">
        <v>24</v>
      </c>
    </row>
    <row r="5" spans="1:14" x14ac:dyDescent="0.3">
      <c r="A5" t="s">
        <v>28</v>
      </c>
      <c r="B5">
        <v>20</v>
      </c>
      <c r="C5" t="s">
        <v>15</v>
      </c>
      <c r="D5" t="s">
        <v>29</v>
      </c>
      <c r="E5">
        <v>1</v>
      </c>
      <c r="F5">
        <v>7.05</v>
      </c>
      <c r="G5">
        <v>10</v>
      </c>
      <c r="H5">
        <v>79.8</v>
      </c>
      <c r="I5" t="s">
        <v>30</v>
      </c>
      <c r="J5" t="s">
        <v>18</v>
      </c>
      <c r="K5">
        <v>5.2</v>
      </c>
      <c r="L5">
        <v>7</v>
      </c>
      <c r="M5">
        <v>5</v>
      </c>
      <c r="N5" t="s">
        <v>19</v>
      </c>
    </row>
    <row r="6" spans="1:14" x14ac:dyDescent="0.3">
      <c r="A6" t="s">
        <v>31</v>
      </c>
      <c r="B6">
        <v>21</v>
      </c>
      <c r="C6" t="s">
        <v>21</v>
      </c>
      <c r="D6" t="s">
        <v>32</v>
      </c>
      <c r="E6">
        <v>1</v>
      </c>
      <c r="F6">
        <v>6.48</v>
      </c>
      <c r="G6">
        <v>5</v>
      </c>
      <c r="H6">
        <v>97.4</v>
      </c>
      <c r="I6" t="s">
        <v>17</v>
      </c>
      <c r="J6" t="s">
        <v>33</v>
      </c>
      <c r="K6">
        <v>6.6</v>
      </c>
      <c r="L6">
        <v>9</v>
      </c>
      <c r="M6">
        <v>4.3</v>
      </c>
      <c r="N6" t="s">
        <v>19</v>
      </c>
    </row>
    <row r="7" spans="1:14" x14ac:dyDescent="0.3">
      <c r="A7" t="s">
        <v>34</v>
      </c>
      <c r="B7">
        <v>23</v>
      </c>
      <c r="C7" t="s">
        <v>15</v>
      </c>
      <c r="D7" t="s">
        <v>22</v>
      </c>
      <c r="E7">
        <v>1</v>
      </c>
      <c r="F7">
        <v>8.84</v>
      </c>
      <c r="G7">
        <v>9</v>
      </c>
      <c r="H7">
        <v>54.2</v>
      </c>
      <c r="I7" t="s">
        <v>17</v>
      </c>
      <c r="J7" t="s">
        <v>35</v>
      </c>
      <c r="K7">
        <v>1.5</v>
      </c>
      <c r="L7">
        <v>9</v>
      </c>
      <c r="M7">
        <v>5.4</v>
      </c>
      <c r="N7" t="s">
        <v>19</v>
      </c>
    </row>
    <row r="8" spans="1:14" x14ac:dyDescent="0.3">
      <c r="A8" t="s">
        <v>36</v>
      </c>
      <c r="B8">
        <v>22</v>
      </c>
      <c r="C8" t="s">
        <v>15</v>
      </c>
      <c r="D8" t="s">
        <v>37</v>
      </c>
      <c r="E8">
        <v>2</v>
      </c>
      <c r="F8">
        <v>7.05</v>
      </c>
      <c r="G8">
        <v>6</v>
      </c>
      <c r="H8">
        <v>73.5</v>
      </c>
      <c r="I8" t="s">
        <v>17</v>
      </c>
      <c r="J8" t="s">
        <v>33</v>
      </c>
      <c r="K8">
        <v>0.9</v>
      </c>
      <c r="L8">
        <v>4</v>
      </c>
      <c r="M8">
        <v>6.9</v>
      </c>
      <c r="N8" t="s">
        <v>24</v>
      </c>
    </row>
    <row r="9" spans="1:14" x14ac:dyDescent="0.3">
      <c r="A9" t="s">
        <v>38</v>
      </c>
      <c r="B9">
        <v>20</v>
      </c>
      <c r="C9" t="s">
        <v>21</v>
      </c>
      <c r="D9" t="s">
        <v>39</v>
      </c>
      <c r="E9">
        <v>1</v>
      </c>
      <c r="F9">
        <v>7.12</v>
      </c>
      <c r="G9">
        <v>4</v>
      </c>
      <c r="H9">
        <v>73.3</v>
      </c>
      <c r="I9" t="s">
        <v>17</v>
      </c>
      <c r="J9" t="s">
        <v>35</v>
      </c>
      <c r="K9">
        <v>7.1</v>
      </c>
      <c r="L9">
        <v>1</v>
      </c>
      <c r="M9">
        <v>8</v>
      </c>
      <c r="N9" t="s">
        <v>19</v>
      </c>
    </row>
    <row r="10" spans="1:14" x14ac:dyDescent="0.3">
      <c r="A10" t="s">
        <v>40</v>
      </c>
      <c r="B10">
        <v>27</v>
      </c>
      <c r="C10" t="s">
        <v>15</v>
      </c>
      <c r="D10" t="s">
        <v>29</v>
      </c>
      <c r="E10">
        <v>2</v>
      </c>
      <c r="F10">
        <v>7.79</v>
      </c>
      <c r="G10">
        <v>6</v>
      </c>
      <c r="H10">
        <v>94.8</v>
      </c>
      <c r="I10" t="s">
        <v>17</v>
      </c>
      <c r="J10" t="s">
        <v>23</v>
      </c>
      <c r="K10">
        <v>7.2</v>
      </c>
      <c r="L10">
        <v>3</v>
      </c>
      <c r="M10">
        <v>5.5</v>
      </c>
      <c r="N10" t="s">
        <v>19</v>
      </c>
    </row>
    <row r="11" spans="1:14" x14ac:dyDescent="0.3">
      <c r="A11" t="s">
        <v>41</v>
      </c>
      <c r="B11">
        <v>25</v>
      </c>
      <c r="C11" t="s">
        <v>15</v>
      </c>
      <c r="D11" t="s">
        <v>22</v>
      </c>
      <c r="E11">
        <v>2</v>
      </c>
      <c r="F11">
        <v>4.7300000000000004</v>
      </c>
      <c r="G11">
        <v>7</v>
      </c>
      <c r="H11">
        <v>64</v>
      </c>
      <c r="I11" t="s">
        <v>17</v>
      </c>
      <c r="J11" t="s">
        <v>23</v>
      </c>
      <c r="K11">
        <v>3.7</v>
      </c>
      <c r="L11">
        <v>4</v>
      </c>
      <c r="M11">
        <v>9.1</v>
      </c>
      <c r="N11" t="s">
        <v>24</v>
      </c>
    </row>
    <row r="12" spans="1:14" x14ac:dyDescent="0.3">
      <c r="A12" t="s">
        <v>42</v>
      </c>
      <c r="B12">
        <v>24</v>
      </c>
      <c r="C12" t="s">
        <v>15</v>
      </c>
      <c r="D12" t="s">
        <v>43</v>
      </c>
      <c r="E12">
        <v>3</v>
      </c>
      <c r="F12">
        <v>7.58</v>
      </c>
      <c r="G12">
        <v>3</v>
      </c>
      <c r="H12">
        <v>66.400000000000006</v>
      </c>
      <c r="I12" t="s">
        <v>30</v>
      </c>
      <c r="J12" t="s">
        <v>18</v>
      </c>
      <c r="K12">
        <v>3.4</v>
      </c>
      <c r="L12">
        <v>10</v>
      </c>
      <c r="M12">
        <v>5.7</v>
      </c>
      <c r="N12" t="s">
        <v>19</v>
      </c>
    </row>
    <row r="13" spans="1:14" x14ac:dyDescent="0.3">
      <c r="A13" t="s">
        <v>44</v>
      </c>
      <c r="B13">
        <v>20</v>
      </c>
      <c r="C13" t="s">
        <v>21</v>
      </c>
      <c r="D13" t="s">
        <v>26</v>
      </c>
      <c r="E13">
        <v>2</v>
      </c>
      <c r="F13">
        <v>6.97</v>
      </c>
      <c r="G13">
        <v>4</v>
      </c>
      <c r="H13">
        <v>98.6</v>
      </c>
      <c r="I13" t="s">
        <v>17</v>
      </c>
      <c r="J13" t="s">
        <v>18</v>
      </c>
      <c r="K13">
        <v>7.1</v>
      </c>
      <c r="L13">
        <v>1</v>
      </c>
      <c r="M13">
        <v>4</v>
      </c>
      <c r="N13" t="s">
        <v>24</v>
      </c>
    </row>
    <row r="14" spans="1:14" x14ac:dyDescent="0.3">
      <c r="A14" t="s">
        <v>45</v>
      </c>
      <c r="B14">
        <v>24</v>
      </c>
      <c r="C14" t="s">
        <v>15</v>
      </c>
      <c r="D14" t="s">
        <v>37</v>
      </c>
      <c r="E14">
        <v>2</v>
      </c>
      <c r="F14">
        <v>6.55</v>
      </c>
      <c r="G14">
        <v>7</v>
      </c>
      <c r="H14">
        <v>51.3</v>
      </c>
      <c r="I14" t="s">
        <v>30</v>
      </c>
      <c r="J14" t="s">
        <v>35</v>
      </c>
      <c r="K14">
        <v>5.9</v>
      </c>
      <c r="L14">
        <v>3</v>
      </c>
      <c r="M14">
        <v>6.9</v>
      </c>
      <c r="N14" t="s">
        <v>19</v>
      </c>
    </row>
    <row r="15" spans="1:14" x14ac:dyDescent="0.3">
      <c r="A15" t="s">
        <v>46</v>
      </c>
      <c r="B15">
        <v>23</v>
      </c>
      <c r="C15" t="s">
        <v>15</v>
      </c>
      <c r="D15" t="s">
        <v>43</v>
      </c>
      <c r="E15">
        <v>1</v>
      </c>
      <c r="F15">
        <v>7.45</v>
      </c>
      <c r="G15">
        <v>6</v>
      </c>
      <c r="H15">
        <v>50.9</v>
      </c>
      <c r="I15" t="s">
        <v>27</v>
      </c>
      <c r="J15" t="s">
        <v>35</v>
      </c>
      <c r="K15">
        <v>1.7</v>
      </c>
      <c r="L15">
        <v>8</v>
      </c>
      <c r="M15">
        <v>5.5</v>
      </c>
      <c r="N15" t="s">
        <v>19</v>
      </c>
    </row>
    <row r="16" spans="1:14" x14ac:dyDescent="0.3">
      <c r="A16" t="s">
        <v>47</v>
      </c>
      <c r="B16">
        <v>23</v>
      </c>
      <c r="C16" t="s">
        <v>21</v>
      </c>
      <c r="D16" t="s">
        <v>48</v>
      </c>
      <c r="E16">
        <v>2</v>
      </c>
      <c r="F16">
        <v>5.21</v>
      </c>
      <c r="G16">
        <v>9</v>
      </c>
      <c r="H16">
        <v>69.5</v>
      </c>
      <c r="I16" t="s">
        <v>17</v>
      </c>
      <c r="J16" t="s">
        <v>23</v>
      </c>
      <c r="K16">
        <v>0.5</v>
      </c>
      <c r="L16">
        <v>8</v>
      </c>
      <c r="M16">
        <v>8.9</v>
      </c>
      <c r="N16" t="s">
        <v>24</v>
      </c>
    </row>
    <row r="17" spans="1:14" x14ac:dyDescent="0.3">
      <c r="A17" t="s">
        <v>49</v>
      </c>
      <c r="B17">
        <v>21</v>
      </c>
      <c r="C17" t="s">
        <v>15</v>
      </c>
      <c r="D17" t="s">
        <v>29</v>
      </c>
      <c r="E17">
        <v>1</v>
      </c>
      <c r="F17">
        <v>8.9700000000000006</v>
      </c>
      <c r="G17">
        <v>9</v>
      </c>
      <c r="H17">
        <v>93.6</v>
      </c>
      <c r="I17" t="s">
        <v>17</v>
      </c>
      <c r="J17" t="s">
        <v>23</v>
      </c>
      <c r="K17">
        <v>1</v>
      </c>
      <c r="L17">
        <v>7</v>
      </c>
      <c r="M17">
        <v>4.0999999999999996</v>
      </c>
      <c r="N17" t="s">
        <v>24</v>
      </c>
    </row>
    <row r="18" spans="1:14" x14ac:dyDescent="0.3">
      <c r="A18" t="s">
        <v>50</v>
      </c>
      <c r="B18">
        <v>17</v>
      </c>
      <c r="C18" t="s">
        <v>15</v>
      </c>
      <c r="D18" t="s">
        <v>39</v>
      </c>
      <c r="E18">
        <v>3</v>
      </c>
      <c r="F18">
        <v>7.03</v>
      </c>
      <c r="G18">
        <v>4</v>
      </c>
      <c r="H18">
        <v>85</v>
      </c>
      <c r="I18" t="s">
        <v>30</v>
      </c>
      <c r="J18" t="s">
        <v>35</v>
      </c>
      <c r="K18">
        <v>5.3</v>
      </c>
      <c r="L18">
        <v>8</v>
      </c>
      <c r="M18">
        <v>6</v>
      </c>
      <c r="N18" t="s">
        <v>24</v>
      </c>
    </row>
    <row r="19" spans="1:14" x14ac:dyDescent="0.3">
      <c r="A19" t="s">
        <v>51</v>
      </c>
      <c r="B19">
        <v>18</v>
      </c>
      <c r="C19" t="s">
        <v>15</v>
      </c>
      <c r="D19" t="s">
        <v>29</v>
      </c>
      <c r="E19">
        <v>2</v>
      </c>
      <c r="F19">
        <v>4.4000000000000004</v>
      </c>
      <c r="G19">
        <v>9</v>
      </c>
      <c r="H19">
        <v>71.7</v>
      </c>
      <c r="I19" t="s">
        <v>30</v>
      </c>
      <c r="J19" t="s">
        <v>35</v>
      </c>
      <c r="K19">
        <v>0.8</v>
      </c>
      <c r="L19">
        <v>2</v>
      </c>
      <c r="M19">
        <v>3.6</v>
      </c>
      <c r="N19" t="s">
        <v>24</v>
      </c>
    </row>
    <row r="20" spans="1:14" x14ac:dyDescent="0.3">
      <c r="A20" t="s">
        <v>52</v>
      </c>
      <c r="B20">
        <v>23</v>
      </c>
      <c r="C20" t="s">
        <v>15</v>
      </c>
      <c r="D20" t="s">
        <v>39</v>
      </c>
      <c r="E20">
        <v>2</v>
      </c>
      <c r="F20">
        <v>6.15</v>
      </c>
      <c r="G20">
        <v>5</v>
      </c>
      <c r="H20">
        <v>80.7</v>
      </c>
      <c r="I20" t="s">
        <v>27</v>
      </c>
      <c r="J20" t="s">
        <v>35</v>
      </c>
      <c r="K20">
        <v>8.4</v>
      </c>
      <c r="L20">
        <v>7</v>
      </c>
      <c r="M20">
        <v>9.9</v>
      </c>
      <c r="N20" t="s">
        <v>24</v>
      </c>
    </row>
    <row r="21" spans="1:14" x14ac:dyDescent="0.3">
      <c r="A21" t="s">
        <v>53</v>
      </c>
      <c r="B21">
        <v>22</v>
      </c>
      <c r="C21" t="s">
        <v>15</v>
      </c>
      <c r="D21" t="s">
        <v>48</v>
      </c>
      <c r="E21">
        <v>2</v>
      </c>
      <c r="F21">
        <v>9.39</v>
      </c>
      <c r="G21">
        <v>6</v>
      </c>
      <c r="H21">
        <v>97.5</v>
      </c>
      <c r="I21" t="s">
        <v>30</v>
      </c>
      <c r="J21" t="s">
        <v>54</v>
      </c>
      <c r="K21">
        <v>6.5</v>
      </c>
      <c r="L21">
        <v>9</v>
      </c>
      <c r="M21">
        <v>6.8</v>
      </c>
      <c r="N21" t="s">
        <v>19</v>
      </c>
    </row>
    <row r="22" spans="1:14" x14ac:dyDescent="0.3">
      <c r="A22" t="s">
        <v>55</v>
      </c>
      <c r="B22">
        <v>21</v>
      </c>
      <c r="C22" t="s">
        <v>15</v>
      </c>
      <c r="D22" t="s">
        <v>48</v>
      </c>
      <c r="E22">
        <v>2</v>
      </c>
      <c r="F22">
        <v>9.4</v>
      </c>
      <c r="G22">
        <v>7</v>
      </c>
      <c r="H22">
        <v>94.1</v>
      </c>
      <c r="I22" t="s">
        <v>17</v>
      </c>
      <c r="J22" t="s">
        <v>33</v>
      </c>
      <c r="K22">
        <v>8.5</v>
      </c>
      <c r="L22">
        <v>1</v>
      </c>
      <c r="M22">
        <v>7.8</v>
      </c>
      <c r="N22" t="s">
        <v>19</v>
      </c>
    </row>
    <row r="23" spans="1:14" x14ac:dyDescent="0.3">
      <c r="A23" t="s">
        <v>56</v>
      </c>
      <c r="B23">
        <v>23</v>
      </c>
      <c r="C23" t="s">
        <v>15</v>
      </c>
      <c r="D23" t="s">
        <v>26</v>
      </c>
      <c r="E23">
        <v>2</v>
      </c>
      <c r="F23">
        <v>4.88</v>
      </c>
      <c r="G23">
        <v>6</v>
      </c>
      <c r="H23">
        <v>72.5</v>
      </c>
      <c r="I23" t="s">
        <v>27</v>
      </c>
      <c r="J23" t="s">
        <v>54</v>
      </c>
      <c r="K23">
        <v>7.4</v>
      </c>
      <c r="L23">
        <v>8</v>
      </c>
      <c r="M23">
        <v>5.2</v>
      </c>
      <c r="N23" t="s">
        <v>19</v>
      </c>
    </row>
    <row r="24" spans="1:14" x14ac:dyDescent="0.3">
      <c r="A24" t="s">
        <v>57</v>
      </c>
      <c r="B24">
        <v>24</v>
      </c>
      <c r="C24" t="s">
        <v>15</v>
      </c>
      <c r="D24" t="s">
        <v>32</v>
      </c>
      <c r="E24">
        <v>3</v>
      </c>
      <c r="F24">
        <v>8.2200000000000006</v>
      </c>
      <c r="G24">
        <v>2</v>
      </c>
      <c r="H24">
        <v>92.9</v>
      </c>
      <c r="I24" t="s">
        <v>30</v>
      </c>
      <c r="J24" t="s">
        <v>35</v>
      </c>
      <c r="K24">
        <v>7.7</v>
      </c>
      <c r="L24">
        <v>7</v>
      </c>
      <c r="M24">
        <v>9</v>
      </c>
      <c r="N24" t="s">
        <v>19</v>
      </c>
    </row>
    <row r="25" spans="1:14" x14ac:dyDescent="0.3">
      <c r="A25" t="s">
        <v>58</v>
      </c>
      <c r="B25">
        <v>24</v>
      </c>
      <c r="C25" t="s">
        <v>15</v>
      </c>
      <c r="D25" t="s">
        <v>37</v>
      </c>
      <c r="E25">
        <v>2</v>
      </c>
      <c r="F25">
        <v>6.26</v>
      </c>
      <c r="G25">
        <v>7</v>
      </c>
      <c r="H25">
        <v>97.2</v>
      </c>
      <c r="I25" t="s">
        <v>30</v>
      </c>
      <c r="J25" t="s">
        <v>54</v>
      </c>
      <c r="K25">
        <v>6.3</v>
      </c>
      <c r="L25">
        <v>5</v>
      </c>
      <c r="M25">
        <v>7.2</v>
      </c>
      <c r="N25" t="s">
        <v>24</v>
      </c>
    </row>
    <row r="26" spans="1:14" x14ac:dyDescent="0.3">
      <c r="A26" t="s">
        <v>59</v>
      </c>
      <c r="B26">
        <v>20</v>
      </c>
      <c r="C26" t="s">
        <v>15</v>
      </c>
      <c r="D26" t="s">
        <v>43</v>
      </c>
      <c r="E26">
        <v>2</v>
      </c>
      <c r="F26">
        <v>4.2300000000000004</v>
      </c>
      <c r="G26">
        <v>6</v>
      </c>
      <c r="H26">
        <v>74.2</v>
      </c>
      <c r="I26" t="s">
        <v>30</v>
      </c>
      <c r="J26" t="s">
        <v>35</v>
      </c>
      <c r="K26">
        <v>3.8</v>
      </c>
      <c r="L26">
        <v>3</v>
      </c>
      <c r="M26">
        <v>6.2</v>
      </c>
      <c r="N26" t="s">
        <v>24</v>
      </c>
    </row>
    <row r="27" spans="1:14" x14ac:dyDescent="0.3">
      <c r="A27" t="s">
        <v>60</v>
      </c>
      <c r="B27">
        <v>22</v>
      </c>
      <c r="C27" t="s">
        <v>21</v>
      </c>
      <c r="D27" t="s">
        <v>32</v>
      </c>
      <c r="E27">
        <v>3</v>
      </c>
      <c r="F27">
        <v>8.98</v>
      </c>
      <c r="G27">
        <v>5</v>
      </c>
      <c r="H27">
        <v>77.3</v>
      </c>
      <c r="I27" t="s">
        <v>27</v>
      </c>
      <c r="J27" t="s">
        <v>35</v>
      </c>
      <c r="K27">
        <v>6.6</v>
      </c>
      <c r="L27">
        <v>3</v>
      </c>
      <c r="M27">
        <v>5.8</v>
      </c>
      <c r="N27" t="s">
        <v>24</v>
      </c>
    </row>
    <row r="28" spans="1:14" x14ac:dyDescent="0.3">
      <c r="A28" t="s">
        <v>61</v>
      </c>
      <c r="B28">
        <v>25</v>
      </c>
      <c r="C28" t="s">
        <v>15</v>
      </c>
      <c r="D28" t="s">
        <v>39</v>
      </c>
      <c r="E28">
        <v>2</v>
      </c>
      <c r="F28">
        <v>5.69</v>
      </c>
      <c r="G28">
        <v>9</v>
      </c>
      <c r="H28">
        <v>71.3</v>
      </c>
      <c r="I28" t="s">
        <v>17</v>
      </c>
      <c r="J28" t="s">
        <v>18</v>
      </c>
      <c r="K28">
        <v>6.4</v>
      </c>
      <c r="L28">
        <v>8</v>
      </c>
      <c r="M28">
        <v>4</v>
      </c>
      <c r="N28" t="s">
        <v>24</v>
      </c>
    </row>
    <row r="29" spans="1:14" x14ac:dyDescent="0.3">
      <c r="A29" t="s">
        <v>62</v>
      </c>
      <c r="B29">
        <v>20</v>
      </c>
      <c r="C29" t="s">
        <v>21</v>
      </c>
      <c r="D29" t="s">
        <v>22</v>
      </c>
      <c r="E29">
        <v>1</v>
      </c>
      <c r="F29">
        <v>4.99</v>
      </c>
      <c r="G29">
        <v>3</v>
      </c>
      <c r="H29">
        <v>53.5</v>
      </c>
      <c r="I29" t="s">
        <v>17</v>
      </c>
      <c r="J29" t="s">
        <v>35</v>
      </c>
      <c r="K29">
        <v>4.3</v>
      </c>
      <c r="L29">
        <v>4</v>
      </c>
      <c r="M29">
        <v>4.4000000000000004</v>
      </c>
      <c r="N29" t="s">
        <v>24</v>
      </c>
    </row>
    <row r="30" spans="1:14" x14ac:dyDescent="0.3">
      <c r="A30" t="s">
        <v>63</v>
      </c>
      <c r="B30">
        <v>23</v>
      </c>
      <c r="C30" t="s">
        <v>21</v>
      </c>
      <c r="D30" t="s">
        <v>22</v>
      </c>
      <c r="E30">
        <v>2</v>
      </c>
      <c r="F30">
        <v>4.92</v>
      </c>
      <c r="G30">
        <v>6</v>
      </c>
      <c r="H30">
        <v>85.2</v>
      </c>
      <c r="I30" t="s">
        <v>17</v>
      </c>
      <c r="J30" t="s">
        <v>35</v>
      </c>
      <c r="K30">
        <v>6.6</v>
      </c>
      <c r="L30">
        <v>3</v>
      </c>
      <c r="M30">
        <v>4.8</v>
      </c>
      <c r="N30" t="s">
        <v>24</v>
      </c>
    </row>
    <row r="31" spans="1:14" x14ac:dyDescent="0.3">
      <c r="A31" t="s">
        <v>64</v>
      </c>
      <c r="B31">
        <v>19</v>
      </c>
      <c r="C31" t="s">
        <v>15</v>
      </c>
      <c r="D31" t="s">
        <v>26</v>
      </c>
      <c r="E31">
        <v>2</v>
      </c>
      <c r="F31">
        <v>8.15</v>
      </c>
      <c r="G31">
        <v>10</v>
      </c>
      <c r="H31">
        <v>92.6</v>
      </c>
      <c r="I31" t="s">
        <v>30</v>
      </c>
      <c r="J31" t="s">
        <v>33</v>
      </c>
      <c r="K31">
        <v>4.5</v>
      </c>
      <c r="L31">
        <v>4</v>
      </c>
      <c r="M31">
        <v>8.5</v>
      </c>
      <c r="N31" t="s">
        <v>19</v>
      </c>
    </row>
    <row r="32" spans="1:14" x14ac:dyDescent="0.3">
      <c r="A32" t="s">
        <v>65</v>
      </c>
      <c r="B32">
        <v>25</v>
      </c>
      <c r="C32" t="s">
        <v>21</v>
      </c>
      <c r="D32" t="s">
        <v>43</v>
      </c>
      <c r="E32">
        <v>1</v>
      </c>
      <c r="F32">
        <v>8.51</v>
      </c>
      <c r="G32">
        <v>2</v>
      </c>
      <c r="H32">
        <v>53.1</v>
      </c>
      <c r="I32" t="s">
        <v>27</v>
      </c>
      <c r="J32" t="s">
        <v>33</v>
      </c>
      <c r="K32">
        <v>6.1</v>
      </c>
      <c r="L32">
        <v>1</v>
      </c>
      <c r="M32">
        <v>4.3</v>
      </c>
      <c r="N32" t="s">
        <v>24</v>
      </c>
    </row>
    <row r="33" spans="1:14" x14ac:dyDescent="0.3">
      <c r="A33" t="s">
        <v>66</v>
      </c>
      <c r="B33">
        <v>21</v>
      </c>
      <c r="C33" t="s">
        <v>15</v>
      </c>
      <c r="D33" t="s">
        <v>32</v>
      </c>
      <c r="E33">
        <v>4</v>
      </c>
      <c r="F33">
        <v>6.27</v>
      </c>
      <c r="G33">
        <v>10</v>
      </c>
      <c r="H33">
        <v>70.2</v>
      </c>
      <c r="I33" t="s">
        <v>30</v>
      </c>
      <c r="J33" t="s">
        <v>33</v>
      </c>
      <c r="K33">
        <v>2.2000000000000002</v>
      </c>
      <c r="L33">
        <v>3</v>
      </c>
      <c r="M33">
        <v>6.7</v>
      </c>
      <c r="N33" t="s">
        <v>24</v>
      </c>
    </row>
    <row r="34" spans="1:14" x14ac:dyDescent="0.3">
      <c r="A34" t="s">
        <v>67</v>
      </c>
      <c r="B34">
        <v>23</v>
      </c>
      <c r="C34" t="s">
        <v>21</v>
      </c>
      <c r="D34" t="s">
        <v>43</v>
      </c>
      <c r="E34">
        <v>1</v>
      </c>
      <c r="F34">
        <v>9.7200000000000006</v>
      </c>
      <c r="G34">
        <v>8</v>
      </c>
      <c r="H34">
        <v>60</v>
      </c>
      <c r="I34" t="s">
        <v>30</v>
      </c>
      <c r="J34" t="s">
        <v>18</v>
      </c>
      <c r="K34">
        <v>6.6</v>
      </c>
      <c r="L34">
        <v>9</v>
      </c>
      <c r="M34">
        <v>7.5</v>
      </c>
      <c r="N34" t="s">
        <v>19</v>
      </c>
    </row>
    <row r="35" spans="1:14" x14ac:dyDescent="0.3">
      <c r="A35" t="s">
        <v>68</v>
      </c>
      <c r="B35">
        <v>25</v>
      </c>
      <c r="C35" t="s">
        <v>21</v>
      </c>
      <c r="D35" t="s">
        <v>22</v>
      </c>
      <c r="E35">
        <v>2</v>
      </c>
      <c r="F35">
        <v>6.44</v>
      </c>
      <c r="G35">
        <v>4</v>
      </c>
      <c r="H35">
        <v>84.4</v>
      </c>
      <c r="I35" t="s">
        <v>27</v>
      </c>
      <c r="J35" t="s">
        <v>23</v>
      </c>
      <c r="K35">
        <v>8.9</v>
      </c>
      <c r="L35">
        <v>1</v>
      </c>
      <c r="M35">
        <v>5.6</v>
      </c>
      <c r="N35" t="s">
        <v>24</v>
      </c>
    </row>
    <row r="36" spans="1:14" x14ac:dyDescent="0.3">
      <c r="A36" t="s">
        <v>69</v>
      </c>
      <c r="B36">
        <v>21</v>
      </c>
      <c r="C36" t="s">
        <v>21</v>
      </c>
      <c r="D36" t="s">
        <v>39</v>
      </c>
      <c r="E36">
        <v>2</v>
      </c>
      <c r="F36">
        <v>4.3099999999999996</v>
      </c>
      <c r="G36">
        <v>6</v>
      </c>
      <c r="H36">
        <v>71.900000000000006</v>
      </c>
      <c r="I36" t="s">
        <v>30</v>
      </c>
      <c r="J36" t="s">
        <v>35</v>
      </c>
      <c r="K36">
        <v>3.4</v>
      </c>
      <c r="L36">
        <v>1</v>
      </c>
      <c r="M36">
        <v>9.4</v>
      </c>
      <c r="N36" t="s">
        <v>19</v>
      </c>
    </row>
    <row r="37" spans="1:14" x14ac:dyDescent="0.3">
      <c r="A37" t="s">
        <v>70</v>
      </c>
      <c r="B37">
        <v>25</v>
      </c>
      <c r="C37" t="s">
        <v>15</v>
      </c>
      <c r="D37" t="s">
        <v>26</v>
      </c>
      <c r="E37">
        <v>2</v>
      </c>
      <c r="F37">
        <v>8.5</v>
      </c>
      <c r="G37">
        <v>6</v>
      </c>
      <c r="H37">
        <v>83.3</v>
      </c>
      <c r="I37" t="s">
        <v>17</v>
      </c>
      <c r="J37" t="s">
        <v>35</v>
      </c>
      <c r="K37">
        <v>0.4</v>
      </c>
      <c r="L37">
        <v>4</v>
      </c>
      <c r="M37">
        <v>7.2</v>
      </c>
      <c r="N37" t="s">
        <v>24</v>
      </c>
    </row>
    <row r="38" spans="1:14" x14ac:dyDescent="0.3">
      <c r="A38" t="s">
        <v>71</v>
      </c>
      <c r="B38">
        <v>22</v>
      </c>
      <c r="C38" t="s">
        <v>21</v>
      </c>
      <c r="D38" t="s">
        <v>32</v>
      </c>
      <c r="E38">
        <v>3</v>
      </c>
      <c r="F38">
        <v>7.6</v>
      </c>
      <c r="G38">
        <v>10</v>
      </c>
      <c r="H38">
        <v>64.900000000000006</v>
      </c>
      <c r="I38" t="s">
        <v>27</v>
      </c>
      <c r="J38" t="s">
        <v>54</v>
      </c>
      <c r="K38">
        <v>6.6</v>
      </c>
      <c r="L38">
        <v>6</v>
      </c>
      <c r="M38">
        <v>6.1</v>
      </c>
      <c r="N38" t="s">
        <v>19</v>
      </c>
    </row>
    <row r="39" spans="1:14" x14ac:dyDescent="0.3">
      <c r="A39" t="s">
        <v>72</v>
      </c>
      <c r="B39">
        <v>21</v>
      </c>
      <c r="C39" t="s">
        <v>15</v>
      </c>
      <c r="D39" t="s">
        <v>29</v>
      </c>
      <c r="E39">
        <v>2</v>
      </c>
      <c r="F39">
        <v>6.2</v>
      </c>
      <c r="G39">
        <v>7</v>
      </c>
      <c r="H39">
        <v>88.6</v>
      </c>
      <c r="I39" t="s">
        <v>17</v>
      </c>
      <c r="J39" t="s">
        <v>54</v>
      </c>
      <c r="K39">
        <v>5.8</v>
      </c>
      <c r="L39">
        <v>10</v>
      </c>
      <c r="M39">
        <v>6.6</v>
      </c>
      <c r="N39" t="s">
        <v>24</v>
      </c>
    </row>
    <row r="40" spans="1:14" x14ac:dyDescent="0.3">
      <c r="A40" t="s">
        <v>73</v>
      </c>
      <c r="B40">
        <v>25</v>
      </c>
      <c r="C40" t="s">
        <v>15</v>
      </c>
      <c r="D40" t="s">
        <v>43</v>
      </c>
      <c r="E40">
        <v>2</v>
      </c>
      <c r="F40">
        <v>6.74</v>
      </c>
      <c r="G40">
        <v>4</v>
      </c>
      <c r="H40">
        <v>63.3</v>
      </c>
      <c r="I40" t="s">
        <v>30</v>
      </c>
      <c r="J40" t="s">
        <v>35</v>
      </c>
      <c r="K40">
        <v>1.7</v>
      </c>
      <c r="L40">
        <v>5</v>
      </c>
      <c r="M40">
        <v>3.7</v>
      </c>
      <c r="N40" t="s">
        <v>24</v>
      </c>
    </row>
    <row r="41" spans="1:14" x14ac:dyDescent="0.3">
      <c r="A41" t="s">
        <v>74</v>
      </c>
      <c r="B41">
        <v>19</v>
      </c>
      <c r="C41" t="s">
        <v>21</v>
      </c>
      <c r="D41" t="s">
        <v>37</v>
      </c>
      <c r="E41">
        <v>2</v>
      </c>
      <c r="F41">
        <v>4.07</v>
      </c>
      <c r="G41">
        <v>2</v>
      </c>
      <c r="H41">
        <v>62.5</v>
      </c>
      <c r="I41" t="s">
        <v>30</v>
      </c>
      <c r="J41" t="s">
        <v>35</v>
      </c>
      <c r="K41">
        <v>4.3</v>
      </c>
      <c r="L41">
        <v>4</v>
      </c>
      <c r="M41">
        <v>7.4</v>
      </c>
      <c r="N41" t="s">
        <v>19</v>
      </c>
    </row>
    <row r="42" spans="1:14" x14ac:dyDescent="0.3">
      <c r="A42" t="s">
        <v>75</v>
      </c>
      <c r="B42">
        <v>27</v>
      </c>
      <c r="C42" t="s">
        <v>15</v>
      </c>
      <c r="D42" t="s">
        <v>26</v>
      </c>
      <c r="E42">
        <v>2</v>
      </c>
      <c r="F42">
        <v>9.89</v>
      </c>
      <c r="G42">
        <v>3</v>
      </c>
      <c r="H42">
        <v>54.8</v>
      </c>
      <c r="I42" t="s">
        <v>30</v>
      </c>
      <c r="J42" t="s">
        <v>35</v>
      </c>
      <c r="K42">
        <v>1.2</v>
      </c>
      <c r="L42">
        <v>9</v>
      </c>
      <c r="M42">
        <v>6.6</v>
      </c>
      <c r="N42" t="s">
        <v>24</v>
      </c>
    </row>
    <row r="43" spans="1:14" x14ac:dyDescent="0.3">
      <c r="A43" t="s">
        <v>76</v>
      </c>
      <c r="B43">
        <v>17</v>
      </c>
      <c r="C43" t="s">
        <v>15</v>
      </c>
      <c r="D43" t="s">
        <v>16</v>
      </c>
      <c r="E43">
        <v>3</v>
      </c>
      <c r="F43">
        <v>6.61</v>
      </c>
      <c r="G43">
        <v>3</v>
      </c>
      <c r="H43">
        <v>57.3</v>
      </c>
      <c r="I43" t="s">
        <v>27</v>
      </c>
      <c r="J43" t="s">
        <v>23</v>
      </c>
      <c r="K43">
        <v>3.9</v>
      </c>
      <c r="L43">
        <v>3</v>
      </c>
      <c r="M43">
        <v>9.1</v>
      </c>
      <c r="N43" t="s">
        <v>24</v>
      </c>
    </row>
    <row r="44" spans="1:14" x14ac:dyDescent="0.3">
      <c r="A44" t="s">
        <v>77</v>
      </c>
      <c r="B44">
        <v>18</v>
      </c>
      <c r="C44" t="s">
        <v>21</v>
      </c>
      <c r="D44" t="s">
        <v>29</v>
      </c>
      <c r="E44">
        <v>2</v>
      </c>
      <c r="F44">
        <v>9.7799999999999994</v>
      </c>
      <c r="G44">
        <v>5</v>
      </c>
      <c r="H44">
        <v>76.8</v>
      </c>
      <c r="I44" t="s">
        <v>27</v>
      </c>
      <c r="J44" t="s">
        <v>18</v>
      </c>
      <c r="K44">
        <v>2.7</v>
      </c>
      <c r="L44">
        <v>8</v>
      </c>
      <c r="M44">
        <v>9.3000000000000007</v>
      </c>
      <c r="N44" t="s">
        <v>19</v>
      </c>
    </row>
    <row r="45" spans="1:14" x14ac:dyDescent="0.3">
      <c r="A45" t="s">
        <v>78</v>
      </c>
      <c r="B45">
        <v>23</v>
      </c>
      <c r="C45" t="s">
        <v>15</v>
      </c>
      <c r="D45" t="s">
        <v>16</v>
      </c>
      <c r="E45">
        <v>3</v>
      </c>
      <c r="F45">
        <v>5.51</v>
      </c>
      <c r="G45">
        <v>2</v>
      </c>
      <c r="H45">
        <v>71.599999999999994</v>
      </c>
      <c r="I45" t="s">
        <v>27</v>
      </c>
      <c r="J45" t="s">
        <v>54</v>
      </c>
      <c r="K45">
        <v>3.5</v>
      </c>
      <c r="L45">
        <v>6</v>
      </c>
      <c r="M45">
        <v>10</v>
      </c>
      <c r="N45" t="s">
        <v>24</v>
      </c>
    </row>
    <row r="46" spans="1:14" x14ac:dyDescent="0.3">
      <c r="A46" t="s">
        <v>79</v>
      </c>
      <c r="B46">
        <v>17</v>
      </c>
      <c r="C46" t="s">
        <v>21</v>
      </c>
      <c r="D46" t="s">
        <v>43</v>
      </c>
      <c r="E46">
        <v>1</v>
      </c>
      <c r="F46">
        <v>5.91</v>
      </c>
      <c r="G46">
        <v>6</v>
      </c>
      <c r="H46">
        <v>53.8</v>
      </c>
      <c r="I46" t="s">
        <v>27</v>
      </c>
      <c r="J46" t="s">
        <v>35</v>
      </c>
      <c r="K46">
        <v>6.8</v>
      </c>
      <c r="L46">
        <v>9</v>
      </c>
      <c r="M46">
        <v>6.2</v>
      </c>
      <c r="N46" t="s">
        <v>19</v>
      </c>
    </row>
    <row r="47" spans="1:14" x14ac:dyDescent="0.3">
      <c r="A47" t="s">
        <v>80</v>
      </c>
      <c r="B47">
        <v>25</v>
      </c>
      <c r="C47" t="s">
        <v>15</v>
      </c>
      <c r="D47" t="s">
        <v>48</v>
      </c>
      <c r="E47">
        <v>3</v>
      </c>
      <c r="F47">
        <v>8.5500000000000007</v>
      </c>
      <c r="G47">
        <v>5</v>
      </c>
      <c r="H47">
        <v>50.3</v>
      </c>
      <c r="I47" t="s">
        <v>27</v>
      </c>
      <c r="J47" t="s">
        <v>23</v>
      </c>
      <c r="K47">
        <v>6.8</v>
      </c>
      <c r="L47">
        <v>10</v>
      </c>
      <c r="M47">
        <v>4.5</v>
      </c>
      <c r="N47" t="s">
        <v>24</v>
      </c>
    </row>
    <row r="48" spans="1:14" x14ac:dyDescent="0.3">
      <c r="A48" t="s">
        <v>81</v>
      </c>
      <c r="B48">
        <v>17</v>
      </c>
      <c r="C48" t="s">
        <v>21</v>
      </c>
      <c r="D48" t="s">
        <v>39</v>
      </c>
      <c r="E48">
        <v>2</v>
      </c>
      <c r="F48">
        <v>6.17</v>
      </c>
      <c r="G48">
        <v>3</v>
      </c>
      <c r="H48">
        <v>78.8</v>
      </c>
      <c r="I48" t="s">
        <v>17</v>
      </c>
      <c r="J48" t="s">
        <v>23</v>
      </c>
      <c r="K48">
        <v>7</v>
      </c>
      <c r="L48">
        <v>4</v>
      </c>
      <c r="M48">
        <v>6.2</v>
      </c>
      <c r="N48" t="s">
        <v>19</v>
      </c>
    </row>
    <row r="49" spans="1:14" x14ac:dyDescent="0.3">
      <c r="A49" t="s">
        <v>82</v>
      </c>
      <c r="B49">
        <v>24</v>
      </c>
      <c r="C49" t="s">
        <v>21</v>
      </c>
      <c r="D49" t="s">
        <v>43</v>
      </c>
      <c r="E49">
        <v>3</v>
      </c>
      <c r="F49">
        <v>7.24</v>
      </c>
      <c r="G49">
        <v>4</v>
      </c>
      <c r="H49">
        <v>66.3</v>
      </c>
      <c r="I49" t="s">
        <v>30</v>
      </c>
      <c r="J49" t="s">
        <v>33</v>
      </c>
      <c r="K49">
        <v>4</v>
      </c>
      <c r="L49">
        <v>8</v>
      </c>
      <c r="M49">
        <v>5.7</v>
      </c>
      <c r="N49" t="s">
        <v>19</v>
      </c>
    </row>
    <row r="50" spans="1:14" x14ac:dyDescent="0.3">
      <c r="A50" t="s">
        <v>83</v>
      </c>
      <c r="B50">
        <v>23</v>
      </c>
      <c r="C50" t="s">
        <v>21</v>
      </c>
      <c r="D50" t="s">
        <v>16</v>
      </c>
      <c r="E50">
        <v>1</v>
      </c>
      <c r="F50">
        <v>9.94</v>
      </c>
      <c r="G50">
        <v>8</v>
      </c>
      <c r="H50">
        <v>98.6</v>
      </c>
      <c r="I50" t="s">
        <v>17</v>
      </c>
      <c r="J50" t="s">
        <v>35</v>
      </c>
      <c r="K50">
        <v>7.7</v>
      </c>
      <c r="L50">
        <v>4</v>
      </c>
      <c r="M50">
        <v>6.6</v>
      </c>
      <c r="N50" t="s">
        <v>24</v>
      </c>
    </row>
    <row r="51" spans="1:14" x14ac:dyDescent="0.3">
      <c r="A51" t="s">
        <v>84</v>
      </c>
      <c r="B51">
        <v>23</v>
      </c>
      <c r="C51" t="s">
        <v>21</v>
      </c>
      <c r="D51" t="s">
        <v>48</v>
      </c>
      <c r="E51">
        <v>3</v>
      </c>
      <c r="F51">
        <v>9.16</v>
      </c>
      <c r="G51">
        <v>9</v>
      </c>
      <c r="H51">
        <v>73.400000000000006</v>
      </c>
      <c r="I51" t="s">
        <v>27</v>
      </c>
      <c r="J51" t="s">
        <v>23</v>
      </c>
      <c r="K51">
        <v>8.1999999999999993</v>
      </c>
      <c r="L51">
        <v>6</v>
      </c>
      <c r="M51">
        <v>6.3</v>
      </c>
      <c r="N51" t="s">
        <v>19</v>
      </c>
    </row>
    <row r="52" spans="1:14" x14ac:dyDescent="0.3">
      <c r="A52" t="s">
        <v>85</v>
      </c>
      <c r="B52">
        <v>24</v>
      </c>
      <c r="C52" t="s">
        <v>21</v>
      </c>
      <c r="D52" t="s">
        <v>29</v>
      </c>
      <c r="E52">
        <v>1</v>
      </c>
      <c r="F52">
        <v>7.29</v>
      </c>
      <c r="G52">
        <v>2</v>
      </c>
      <c r="H52">
        <v>71.099999999999994</v>
      </c>
      <c r="I52" t="s">
        <v>30</v>
      </c>
      <c r="J52" t="s">
        <v>54</v>
      </c>
      <c r="K52">
        <v>8</v>
      </c>
      <c r="L52">
        <v>9</v>
      </c>
      <c r="M52">
        <v>6.8</v>
      </c>
      <c r="N52" t="s">
        <v>24</v>
      </c>
    </row>
    <row r="53" spans="1:14" x14ac:dyDescent="0.3">
      <c r="A53" t="s">
        <v>86</v>
      </c>
      <c r="B53">
        <v>24</v>
      </c>
      <c r="C53" t="s">
        <v>15</v>
      </c>
      <c r="D53" t="s">
        <v>16</v>
      </c>
      <c r="E53">
        <v>2</v>
      </c>
      <c r="F53">
        <v>9.23</v>
      </c>
      <c r="G53">
        <v>9</v>
      </c>
      <c r="H53">
        <v>63</v>
      </c>
      <c r="I53" t="s">
        <v>17</v>
      </c>
      <c r="J53" t="s">
        <v>18</v>
      </c>
      <c r="K53">
        <v>8.6999999999999993</v>
      </c>
      <c r="L53">
        <v>7</v>
      </c>
      <c r="M53">
        <v>7.3</v>
      </c>
      <c r="N53" t="s">
        <v>19</v>
      </c>
    </row>
    <row r="54" spans="1:14" x14ac:dyDescent="0.3">
      <c r="A54" t="s">
        <v>87</v>
      </c>
      <c r="B54">
        <v>24</v>
      </c>
      <c r="C54" t="s">
        <v>21</v>
      </c>
      <c r="D54" t="s">
        <v>39</v>
      </c>
      <c r="E54">
        <v>2</v>
      </c>
      <c r="F54">
        <v>7.67</v>
      </c>
      <c r="G54">
        <v>4</v>
      </c>
      <c r="H54">
        <v>70.5</v>
      </c>
      <c r="I54" t="s">
        <v>30</v>
      </c>
      <c r="J54" t="s">
        <v>23</v>
      </c>
      <c r="K54">
        <v>5.3</v>
      </c>
      <c r="L54">
        <v>6</v>
      </c>
      <c r="M54">
        <v>7.8</v>
      </c>
      <c r="N54" t="s">
        <v>19</v>
      </c>
    </row>
    <row r="55" spans="1:14" x14ac:dyDescent="0.3">
      <c r="A55" t="s">
        <v>88</v>
      </c>
      <c r="B55">
        <v>17</v>
      </c>
      <c r="C55" t="s">
        <v>21</v>
      </c>
      <c r="D55" t="s">
        <v>37</v>
      </c>
      <c r="E55">
        <v>2</v>
      </c>
      <c r="F55">
        <v>7.75</v>
      </c>
      <c r="G55">
        <v>9</v>
      </c>
      <c r="H55">
        <v>72.5</v>
      </c>
      <c r="I55" t="s">
        <v>27</v>
      </c>
      <c r="J55" t="s">
        <v>33</v>
      </c>
      <c r="K55">
        <v>6.1</v>
      </c>
      <c r="L55">
        <v>3</v>
      </c>
      <c r="M55">
        <v>9.1999999999999993</v>
      </c>
      <c r="N55" t="s">
        <v>19</v>
      </c>
    </row>
    <row r="56" spans="1:14" x14ac:dyDescent="0.3">
      <c r="A56" t="s">
        <v>89</v>
      </c>
      <c r="B56">
        <v>23</v>
      </c>
      <c r="C56" t="s">
        <v>21</v>
      </c>
      <c r="D56" t="s">
        <v>48</v>
      </c>
      <c r="E56">
        <v>3</v>
      </c>
      <c r="F56">
        <v>7.53</v>
      </c>
      <c r="G56">
        <v>6</v>
      </c>
      <c r="H56">
        <v>82</v>
      </c>
      <c r="I56" t="s">
        <v>30</v>
      </c>
      <c r="J56" t="s">
        <v>23</v>
      </c>
      <c r="K56">
        <v>1.2</v>
      </c>
      <c r="L56">
        <v>2</v>
      </c>
      <c r="M56">
        <v>7</v>
      </c>
      <c r="N56" t="s">
        <v>24</v>
      </c>
    </row>
    <row r="57" spans="1:14" x14ac:dyDescent="0.3">
      <c r="A57" t="s">
        <v>90</v>
      </c>
      <c r="B57">
        <v>17</v>
      </c>
      <c r="C57" t="s">
        <v>21</v>
      </c>
      <c r="D57" t="s">
        <v>22</v>
      </c>
      <c r="E57">
        <v>2</v>
      </c>
      <c r="F57">
        <v>8.81</v>
      </c>
      <c r="G57">
        <v>8</v>
      </c>
      <c r="H57">
        <v>56</v>
      </c>
      <c r="I57" t="s">
        <v>17</v>
      </c>
      <c r="J57" t="s">
        <v>23</v>
      </c>
      <c r="K57">
        <v>8.1</v>
      </c>
      <c r="L57">
        <v>7</v>
      </c>
      <c r="M57">
        <v>4.7</v>
      </c>
      <c r="N57" t="s">
        <v>19</v>
      </c>
    </row>
    <row r="58" spans="1:14" x14ac:dyDescent="0.3">
      <c r="A58" t="s">
        <v>91</v>
      </c>
      <c r="B58">
        <v>18</v>
      </c>
      <c r="C58" t="s">
        <v>15</v>
      </c>
      <c r="D58" t="s">
        <v>26</v>
      </c>
      <c r="E58">
        <v>2</v>
      </c>
      <c r="F58">
        <v>5.37</v>
      </c>
      <c r="G58">
        <v>10</v>
      </c>
      <c r="H58">
        <v>58.9</v>
      </c>
      <c r="I58" t="s">
        <v>27</v>
      </c>
      <c r="J58" t="s">
        <v>33</v>
      </c>
      <c r="K58">
        <v>4.4000000000000004</v>
      </c>
      <c r="L58">
        <v>7</v>
      </c>
      <c r="M58">
        <v>6.5</v>
      </c>
      <c r="N58" t="s">
        <v>24</v>
      </c>
    </row>
    <row r="59" spans="1:14" x14ac:dyDescent="0.3">
      <c r="A59" t="s">
        <v>92</v>
      </c>
      <c r="B59">
        <v>27</v>
      </c>
      <c r="C59" t="s">
        <v>15</v>
      </c>
      <c r="D59" t="s">
        <v>16</v>
      </c>
      <c r="E59">
        <v>3</v>
      </c>
      <c r="F59">
        <v>9.24</v>
      </c>
      <c r="G59">
        <v>6</v>
      </c>
      <c r="H59">
        <v>84.3</v>
      </c>
      <c r="I59" t="s">
        <v>30</v>
      </c>
      <c r="J59" t="s">
        <v>54</v>
      </c>
      <c r="K59">
        <v>6</v>
      </c>
      <c r="L59">
        <v>2</v>
      </c>
      <c r="M59">
        <v>9.4</v>
      </c>
      <c r="N59" t="s">
        <v>19</v>
      </c>
    </row>
    <row r="60" spans="1:14" x14ac:dyDescent="0.3">
      <c r="A60" t="s">
        <v>93</v>
      </c>
      <c r="B60">
        <v>27</v>
      </c>
      <c r="C60" t="s">
        <v>15</v>
      </c>
      <c r="D60" t="s">
        <v>26</v>
      </c>
      <c r="E60">
        <v>2</v>
      </c>
      <c r="F60">
        <v>6.45</v>
      </c>
      <c r="G60">
        <v>2</v>
      </c>
      <c r="H60">
        <v>85.6</v>
      </c>
      <c r="I60" t="s">
        <v>17</v>
      </c>
      <c r="J60" t="s">
        <v>54</v>
      </c>
      <c r="K60">
        <v>2.2999999999999998</v>
      </c>
      <c r="L60">
        <v>7</v>
      </c>
      <c r="M60">
        <v>4.4000000000000004</v>
      </c>
      <c r="N60" t="s">
        <v>19</v>
      </c>
    </row>
    <row r="61" spans="1:14" x14ac:dyDescent="0.3">
      <c r="A61" t="s">
        <v>94</v>
      </c>
      <c r="B61">
        <v>19</v>
      </c>
      <c r="C61" t="s">
        <v>21</v>
      </c>
      <c r="D61" t="s">
        <v>32</v>
      </c>
      <c r="E61">
        <v>4</v>
      </c>
      <c r="F61">
        <v>6.86</v>
      </c>
      <c r="G61">
        <v>6</v>
      </c>
      <c r="H61">
        <v>57.2</v>
      </c>
      <c r="I61" t="s">
        <v>30</v>
      </c>
      <c r="J61" t="s">
        <v>33</v>
      </c>
      <c r="K61">
        <v>2</v>
      </c>
      <c r="L61">
        <v>8</v>
      </c>
      <c r="M61">
        <v>10</v>
      </c>
      <c r="N61" t="s">
        <v>24</v>
      </c>
    </row>
    <row r="62" spans="1:14" x14ac:dyDescent="0.3">
      <c r="A62" t="s">
        <v>95</v>
      </c>
      <c r="B62">
        <v>18</v>
      </c>
      <c r="C62" t="s">
        <v>15</v>
      </c>
      <c r="D62" t="s">
        <v>26</v>
      </c>
      <c r="E62">
        <v>2</v>
      </c>
      <c r="F62">
        <v>5.66</v>
      </c>
      <c r="G62">
        <v>8</v>
      </c>
      <c r="H62">
        <v>84.6</v>
      </c>
      <c r="I62" t="s">
        <v>30</v>
      </c>
      <c r="J62" t="s">
        <v>18</v>
      </c>
      <c r="K62">
        <v>3.6</v>
      </c>
      <c r="L62">
        <v>8</v>
      </c>
      <c r="M62">
        <v>8.6</v>
      </c>
      <c r="N62" t="s">
        <v>19</v>
      </c>
    </row>
    <row r="63" spans="1:14" x14ac:dyDescent="0.3">
      <c r="A63" t="s">
        <v>96</v>
      </c>
      <c r="B63">
        <v>21</v>
      </c>
      <c r="C63" t="s">
        <v>15</v>
      </c>
      <c r="D63" t="s">
        <v>48</v>
      </c>
      <c r="E63">
        <v>3</v>
      </c>
      <c r="F63">
        <v>9.9</v>
      </c>
      <c r="G63">
        <v>10</v>
      </c>
      <c r="H63">
        <v>54.8</v>
      </c>
      <c r="I63" t="s">
        <v>17</v>
      </c>
      <c r="J63" t="s">
        <v>33</v>
      </c>
      <c r="K63">
        <v>7.8</v>
      </c>
      <c r="L63">
        <v>7</v>
      </c>
      <c r="M63">
        <v>9.1</v>
      </c>
      <c r="N63" t="s">
        <v>19</v>
      </c>
    </row>
    <row r="64" spans="1:14" x14ac:dyDescent="0.3">
      <c r="A64" t="s">
        <v>97</v>
      </c>
      <c r="B64">
        <v>22</v>
      </c>
      <c r="C64" t="s">
        <v>21</v>
      </c>
      <c r="D64" t="s">
        <v>16</v>
      </c>
      <c r="E64">
        <v>1</v>
      </c>
      <c r="F64">
        <v>4.76</v>
      </c>
      <c r="G64">
        <v>2</v>
      </c>
      <c r="H64">
        <v>99.7</v>
      </c>
      <c r="I64" t="s">
        <v>27</v>
      </c>
      <c r="J64" t="s">
        <v>54</v>
      </c>
      <c r="K64">
        <v>6</v>
      </c>
      <c r="L64">
        <v>3</v>
      </c>
      <c r="M64">
        <v>8.4</v>
      </c>
      <c r="N64" t="s">
        <v>19</v>
      </c>
    </row>
    <row r="65" spans="1:14" x14ac:dyDescent="0.3">
      <c r="A65" t="s">
        <v>98</v>
      </c>
      <c r="B65">
        <v>23</v>
      </c>
      <c r="C65" t="s">
        <v>21</v>
      </c>
      <c r="D65" t="s">
        <v>48</v>
      </c>
      <c r="E65">
        <v>3</v>
      </c>
      <c r="F65">
        <v>6.09</v>
      </c>
      <c r="G65">
        <v>8</v>
      </c>
      <c r="H65">
        <v>71.5</v>
      </c>
      <c r="I65" t="s">
        <v>27</v>
      </c>
      <c r="J65" t="s">
        <v>54</v>
      </c>
      <c r="K65">
        <v>1.6</v>
      </c>
      <c r="L65">
        <v>7</v>
      </c>
      <c r="M65">
        <v>4.5</v>
      </c>
      <c r="N65" t="s">
        <v>19</v>
      </c>
    </row>
    <row r="66" spans="1:14" x14ac:dyDescent="0.3">
      <c r="A66" t="s">
        <v>99</v>
      </c>
      <c r="B66">
        <v>19</v>
      </c>
      <c r="C66" t="s">
        <v>21</v>
      </c>
      <c r="D66" t="s">
        <v>16</v>
      </c>
      <c r="E66">
        <v>2</v>
      </c>
      <c r="F66">
        <v>9.9</v>
      </c>
      <c r="G66">
        <v>2</v>
      </c>
      <c r="H66">
        <v>61.9</v>
      </c>
      <c r="I66" t="s">
        <v>17</v>
      </c>
      <c r="J66" t="s">
        <v>33</v>
      </c>
      <c r="K66">
        <v>0.4</v>
      </c>
      <c r="L66">
        <v>1</v>
      </c>
      <c r="M66">
        <v>5.3</v>
      </c>
      <c r="N66" t="s">
        <v>24</v>
      </c>
    </row>
    <row r="67" spans="1:14" x14ac:dyDescent="0.3">
      <c r="A67" t="s">
        <v>100</v>
      </c>
      <c r="B67">
        <v>21</v>
      </c>
      <c r="C67" t="s">
        <v>21</v>
      </c>
      <c r="D67" t="s">
        <v>37</v>
      </c>
      <c r="E67">
        <v>1</v>
      </c>
      <c r="F67">
        <v>6.34</v>
      </c>
      <c r="G67">
        <v>5</v>
      </c>
      <c r="H67">
        <v>80.099999999999994</v>
      </c>
      <c r="I67" t="s">
        <v>30</v>
      </c>
      <c r="J67" t="s">
        <v>33</v>
      </c>
      <c r="K67">
        <v>4</v>
      </c>
      <c r="L67">
        <v>9</v>
      </c>
      <c r="M67">
        <v>7.7</v>
      </c>
      <c r="N67" t="s">
        <v>19</v>
      </c>
    </row>
    <row r="68" spans="1:14" x14ac:dyDescent="0.3">
      <c r="A68" t="s">
        <v>101</v>
      </c>
      <c r="B68">
        <v>18</v>
      </c>
      <c r="C68" t="s">
        <v>15</v>
      </c>
      <c r="D68" t="s">
        <v>39</v>
      </c>
      <c r="E68">
        <v>2</v>
      </c>
      <c r="F68">
        <v>6.43</v>
      </c>
      <c r="G68">
        <v>10</v>
      </c>
      <c r="H68">
        <v>84.6</v>
      </c>
      <c r="I68" t="s">
        <v>27</v>
      </c>
      <c r="J68" t="s">
        <v>23</v>
      </c>
      <c r="K68">
        <v>0.9</v>
      </c>
      <c r="L68">
        <v>5</v>
      </c>
      <c r="M68">
        <v>8.3000000000000007</v>
      </c>
      <c r="N68" t="s">
        <v>24</v>
      </c>
    </row>
    <row r="69" spans="1:14" x14ac:dyDescent="0.3">
      <c r="A69" t="s">
        <v>102</v>
      </c>
      <c r="B69">
        <v>18</v>
      </c>
      <c r="C69" t="s">
        <v>15</v>
      </c>
      <c r="D69" t="s">
        <v>29</v>
      </c>
      <c r="E69">
        <v>2</v>
      </c>
      <c r="F69">
        <v>7.49</v>
      </c>
      <c r="G69">
        <v>3</v>
      </c>
      <c r="H69">
        <v>71.400000000000006</v>
      </c>
      <c r="I69" t="s">
        <v>30</v>
      </c>
      <c r="J69" t="s">
        <v>18</v>
      </c>
      <c r="K69">
        <v>7.7</v>
      </c>
      <c r="L69">
        <v>10</v>
      </c>
      <c r="M69">
        <v>8.8000000000000007</v>
      </c>
      <c r="N69" t="s">
        <v>19</v>
      </c>
    </row>
    <row r="70" spans="1:14" x14ac:dyDescent="0.3">
      <c r="A70" t="s">
        <v>103</v>
      </c>
      <c r="B70">
        <v>21</v>
      </c>
      <c r="C70" t="s">
        <v>21</v>
      </c>
      <c r="D70" t="s">
        <v>29</v>
      </c>
      <c r="E70">
        <v>1</v>
      </c>
      <c r="F70">
        <v>5.55</v>
      </c>
      <c r="G70">
        <v>5</v>
      </c>
      <c r="H70">
        <v>88.2</v>
      </c>
      <c r="I70" t="s">
        <v>27</v>
      </c>
      <c r="J70" t="s">
        <v>18</v>
      </c>
      <c r="K70">
        <v>1.4</v>
      </c>
      <c r="L70">
        <v>2</v>
      </c>
      <c r="M70">
        <v>7</v>
      </c>
      <c r="N70" t="s">
        <v>19</v>
      </c>
    </row>
    <row r="71" spans="1:14" x14ac:dyDescent="0.3">
      <c r="A71" t="s">
        <v>104</v>
      </c>
      <c r="B71">
        <v>19</v>
      </c>
      <c r="C71" t="s">
        <v>15</v>
      </c>
      <c r="D71" t="s">
        <v>26</v>
      </c>
      <c r="E71">
        <v>1</v>
      </c>
      <c r="F71">
        <v>4.3600000000000003</v>
      </c>
      <c r="G71">
        <v>5</v>
      </c>
      <c r="H71">
        <v>93.9</v>
      </c>
      <c r="I71" t="s">
        <v>27</v>
      </c>
      <c r="J71" t="s">
        <v>18</v>
      </c>
      <c r="K71">
        <v>2.8</v>
      </c>
      <c r="L71">
        <v>7</v>
      </c>
      <c r="M71">
        <v>6</v>
      </c>
      <c r="N71" t="s">
        <v>24</v>
      </c>
    </row>
    <row r="72" spans="1:14" x14ac:dyDescent="0.3">
      <c r="A72" t="s">
        <v>105</v>
      </c>
      <c r="B72">
        <v>24</v>
      </c>
      <c r="C72" t="s">
        <v>21</v>
      </c>
      <c r="D72" t="s">
        <v>29</v>
      </c>
      <c r="E72">
        <v>2</v>
      </c>
      <c r="F72">
        <v>4.97</v>
      </c>
      <c r="G72">
        <v>10</v>
      </c>
      <c r="H72">
        <v>87</v>
      </c>
      <c r="I72" t="s">
        <v>17</v>
      </c>
      <c r="J72" t="s">
        <v>33</v>
      </c>
      <c r="K72">
        <v>8.5</v>
      </c>
      <c r="L72">
        <v>4</v>
      </c>
      <c r="M72">
        <v>9.8000000000000007</v>
      </c>
      <c r="N72" t="s">
        <v>19</v>
      </c>
    </row>
    <row r="73" spans="1:14" x14ac:dyDescent="0.3">
      <c r="A73" t="s">
        <v>106</v>
      </c>
      <c r="B73">
        <v>19</v>
      </c>
      <c r="C73" t="s">
        <v>15</v>
      </c>
      <c r="D73" t="s">
        <v>26</v>
      </c>
      <c r="E73">
        <v>1</v>
      </c>
      <c r="F73">
        <v>5.75</v>
      </c>
      <c r="G73">
        <v>7</v>
      </c>
      <c r="H73">
        <v>66.8</v>
      </c>
      <c r="I73" t="s">
        <v>30</v>
      </c>
      <c r="J73" t="s">
        <v>54</v>
      </c>
      <c r="K73">
        <v>2.7</v>
      </c>
      <c r="L73">
        <v>1</v>
      </c>
      <c r="M73">
        <v>5.5</v>
      </c>
      <c r="N73" t="s">
        <v>19</v>
      </c>
    </row>
    <row r="74" spans="1:14" x14ac:dyDescent="0.3">
      <c r="A74" t="s">
        <v>107</v>
      </c>
      <c r="B74">
        <v>18</v>
      </c>
      <c r="C74" t="s">
        <v>15</v>
      </c>
      <c r="D74" t="s">
        <v>26</v>
      </c>
      <c r="E74">
        <v>1</v>
      </c>
      <c r="F74">
        <v>7.56</v>
      </c>
      <c r="G74">
        <v>9</v>
      </c>
      <c r="H74">
        <v>57.5</v>
      </c>
      <c r="I74" t="s">
        <v>27</v>
      </c>
      <c r="J74" t="s">
        <v>54</v>
      </c>
      <c r="K74">
        <v>0.9</v>
      </c>
      <c r="L74">
        <v>10</v>
      </c>
      <c r="M74">
        <v>5</v>
      </c>
      <c r="N74" t="s">
        <v>24</v>
      </c>
    </row>
    <row r="75" spans="1:14" x14ac:dyDescent="0.3">
      <c r="A75" t="s">
        <v>108</v>
      </c>
      <c r="B75">
        <v>23</v>
      </c>
      <c r="C75" t="s">
        <v>21</v>
      </c>
      <c r="D75" t="s">
        <v>22</v>
      </c>
      <c r="E75">
        <v>2</v>
      </c>
      <c r="F75">
        <v>5.19</v>
      </c>
      <c r="G75">
        <v>8</v>
      </c>
      <c r="H75">
        <v>64.400000000000006</v>
      </c>
      <c r="I75" t="s">
        <v>30</v>
      </c>
      <c r="J75" t="s">
        <v>18</v>
      </c>
      <c r="K75">
        <v>8.8000000000000007</v>
      </c>
      <c r="L75">
        <v>6</v>
      </c>
      <c r="M75">
        <v>3.9</v>
      </c>
      <c r="N75" t="s">
        <v>19</v>
      </c>
    </row>
    <row r="76" spans="1:14" x14ac:dyDescent="0.3">
      <c r="A76" t="s">
        <v>109</v>
      </c>
      <c r="B76">
        <v>18</v>
      </c>
      <c r="C76" t="s">
        <v>15</v>
      </c>
      <c r="D76" t="s">
        <v>32</v>
      </c>
      <c r="E76">
        <v>1</v>
      </c>
      <c r="F76">
        <v>4.22</v>
      </c>
      <c r="G76">
        <v>6</v>
      </c>
      <c r="H76">
        <v>85.7</v>
      </c>
      <c r="I76" t="s">
        <v>27</v>
      </c>
      <c r="J76" t="s">
        <v>18</v>
      </c>
      <c r="K76">
        <v>2.9</v>
      </c>
      <c r="L76">
        <v>8</v>
      </c>
      <c r="M76">
        <v>6</v>
      </c>
      <c r="N76" t="s">
        <v>19</v>
      </c>
    </row>
    <row r="77" spans="1:14" x14ac:dyDescent="0.3">
      <c r="A77" t="s">
        <v>110</v>
      </c>
      <c r="B77">
        <v>24</v>
      </c>
      <c r="C77" t="s">
        <v>21</v>
      </c>
      <c r="D77" t="s">
        <v>48</v>
      </c>
      <c r="E77">
        <v>1</v>
      </c>
      <c r="F77">
        <v>8.73</v>
      </c>
      <c r="G77">
        <v>7</v>
      </c>
      <c r="H77">
        <v>93.1</v>
      </c>
      <c r="I77" t="s">
        <v>17</v>
      </c>
      <c r="J77" t="s">
        <v>23</v>
      </c>
      <c r="K77">
        <v>1.3</v>
      </c>
      <c r="L77">
        <v>10</v>
      </c>
      <c r="M77">
        <v>9.5</v>
      </c>
      <c r="N77" t="s">
        <v>24</v>
      </c>
    </row>
    <row r="78" spans="1:14" x14ac:dyDescent="0.3">
      <c r="A78" t="s">
        <v>111</v>
      </c>
      <c r="B78">
        <v>26</v>
      </c>
      <c r="C78" t="s">
        <v>21</v>
      </c>
      <c r="D78" t="s">
        <v>16</v>
      </c>
      <c r="E78">
        <v>2</v>
      </c>
      <c r="F78">
        <v>4.17</v>
      </c>
      <c r="G78">
        <v>4</v>
      </c>
      <c r="H78">
        <v>66.099999999999994</v>
      </c>
      <c r="I78" t="s">
        <v>27</v>
      </c>
      <c r="J78" t="s">
        <v>23</v>
      </c>
      <c r="K78">
        <v>9</v>
      </c>
      <c r="L78">
        <v>6</v>
      </c>
      <c r="M78">
        <v>9.6999999999999993</v>
      </c>
      <c r="N78" t="s">
        <v>24</v>
      </c>
    </row>
    <row r="79" spans="1:14" x14ac:dyDescent="0.3">
      <c r="A79" t="s">
        <v>112</v>
      </c>
      <c r="B79">
        <v>25</v>
      </c>
      <c r="C79" t="s">
        <v>21</v>
      </c>
      <c r="D79" t="s">
        <v>29</v>
      </c>
      <c r="E79">
        <v>1</v>
      </c>
      <c r="F79">
        <v>7.94</v>
      </c>
      <c r="G79">
        <v>3</v>
      </c>
      <c r="H79">
        <v>50</v>
      </c>
      <c r="I79" t="s">
        <v>17</v>
      </c>
      <c r="J79" t="s">
        <v>54</v>
      </c>
      <c r="K79">
        <v>9</v>
      </c>
      <c r="L79">
        <v>6</v>
      </c>
      <c r="M79">
        <v>6</v>
      </c>
      <c r="N79" t="s">
        <v>19</v>
      </c>
    </row>
    <row r="80" spans="1:14" x14ac:dyDescent="0.3">
      <c r="A80" t="s">
        <v>113</v>
      </c>
      <c r="B80">
        <v>21</v>
      </c>
      <c r="C80" t="s">
        <v>15</v>
      </c>
      <c r="D80" t="s">
        <v>29</v>
      </c>
      <c r="E80">
        <v>1</v>
      </c>
      <c r="F80">
        <v>5.19</v>
      </c>
      <c r="G80">
        <v>7</v>
      </c>
      <c r="H80">
        <v>72.400000000000006</v>
      </c>
      <c r="I80" t="s">
        <v>27</v>
      </c>
      <c r="J80" t="s">
        <v>33</v>
      </c>
      <c r="K80">
        <v>2.7</v>
      </c>
      <c r="L80">
        <v>6</v>
      </c>
      <c r="M80">
        <v>3.8</v>
      </c>
      <c r="N80" t="s">
        <v>24</v>
      </c>
    </row>
    <row r="81" spans="1:14" x14ac:dyDescent="0.3">
      <c r="A81" t="s">
        <v>114</v>
      </c>
      <c r="B81">
        <v>19</v>
      </c>
      <c r="C81" t="s">
        <v>15</v>
      </c>
      <c r="D81" t="s">
        <v>43</v>
      </c>
      <c r="E81">
        <v>2</v>
      </c>
      <c r="F81">
        <v>6.73</v>
      </c>
      <c r="G81">
        <v>2</v>
      </c>
      <c r="H81">
        <v>65.3</v>
      </c>
      <c r="I81" t="s">
        <v>27</v>
      </c>
      <c r="J81" t="s">
        <v>33</v>
      </c>
      <c r="K81">
        <v>3.3</v>
      </c>
      <c r="L81">
        <v>4</v>
      </c>
      <c r="M81">
        <v>8.1</v>
      </c>
      <c r="N81" t="s">
        <v>24</v>
      </c>
    </row>
    <row r="82" spans="1:14" x14ac:dyDescent="0.3">
      <c r="A82" t="s">
        <v>115</v>
      </c>
      <c r="B82">
        <v>23</v>
      </c>
      <c r="C82" t="s">
        <v>15</v>
      </c>
      <c r="D82" t="s">
        <v>39</v>
      </c>
      <c r="E82">
        <v>3</v>
      </c>
      <c r="F82">
        <v>4.2699999999999996</v>
      </c>
      <c r="G82">
        <v>7</v>
      </c>
      <c r="H82">
        <v>88.4</v>
      </c>
      <c r="I82" t="s">
        <v>17</v>
      </c>
      <c r="J82" t="s">
        <v>35</v>
      </c>
      <c r="K82">
        <v>8.1</v>
      </c>
      <c r="L82">
        <v>9</v>
      </c>
      <c r="M82">
        <v>6.5</v>
      </c>
      <c r="N82" t="s">
        <v>19</v>
      </c>
    </row>
    <row r="83" spans="1:14" x14ac:dyDescent="0.3">
      <c r="A83" t="s">
        <v>116</v>
      </c>
      <c r="B83">
        <v>20</v>
      </c>
      <c r="C83" t="s">
        <v>15</v>
      </c>
      <c r="D83" t="s">
        <v>43</v>
      </c>
      <c r="E83">
        <v>1</v>
      </c>
      <c r="F83">
        <v>9.25</v>
      </c>
      <c r="G83">
        <v>4</v>
      </c>
      <c r="H83">
        <v>57.1</v>
      </c>
      <c r="I83" t="s">
        <v>30</v>
      </c>
      <c r="J83" t="s">
        <v>33</v>
      </c>
      <c r="K83">
        <v>0.1</v>
      </c>
      <c r="L83">
        <v>7</v>
      </c>
      <c r="M83">
        <v>8.3000000000000007</v>
      </c>
      <c r="N83" t="s">
        <v>19</v>
      </c>
    </row>
    <row r="84" spans="1:14" x14ac:dyDescent="0.3">
      <c r="A84" t="s">
        <v>117</v>
      </c>
      <c r="B84">
        <v>26</v>
      </c>
      <c r="C84" t="s">
        <v>15</v>
      </c>
      <c r="D84" t="s">
        <v>39</v>
      </c>
      <c r="E84">
        <v>3</v>
      </c>
      <c r="F84">
        <v>9.9</v>
      </c>
      <c r="G84">
        <v>5</v>
      </c>
      <c r="H84">
        <v>93.3</v>
      </c>
      <c r="I84" t="s">
        <v>27</v>
      </c>
      <c r="J84" t="s">
        <v>35</v>
      </c>
      <c r="K84">
        <v>3.3</v>
      </c>
      <c r="L84">
        <v>10</v>
      </c>
      <c r="M84">
        <v>3.6</v>
      </c>
      <c r="N84" t="s">
        <v>19</v>
      </c>
    </row>
    <row r="85" spans="1:14" x14ac:dyDescent="0.3">
      <c r="A85" t="s">
        <v>118</v>
      </c>
      <c r="B85">
        <v>22</v>
      </c>
      <c r="C85" t="s">
        <v>15</v>
      </c>
      <c r="D85" t="s">
        <v>22</v>
      </c>
      <c r="E85">
        <v>2</v>
      </c>
      <c r="F85">
        <v>6.86</v>
      </c>
      <c r="G85">
        <v>3</v>
      </c>
      <c r="H85">
        <v>89.7</v>
      </c>
      <c r="I85" t="s">
        <v>27</v>
      </c>
      <c r="J85" t="s">
        <v>33</v>
      </c>
      <c r="K85">
        <v>8.5</v>
      </c>
      <c r="L85">
        <v>9</v>
      </c>
      <c r="M85">
        <v>7</v>
      </c>
      <c r="N85" t="s">
        <v>19</v>
      </c>
    </row>
    <row r="86" spans="1:14" x14ac:dyDescent="0.3">
      <c r="A86" t="s">
        <v>119</v>
      </c>
      <c r="B86">
        <v>26</v>
      </c>
      <c r="C86" t="s">
        <v>21</v>
      </c>
      <c r="D86" t="s">
        <v>29</v>
      </c>
      <c r="E86">
        <v>1</v>
      </c>
      <c r="F86">
        <v>8.61</v>
      </c>
      <c r="G86">
        <v>4</v>
      </c>
      <c r="H86">
        <v>75</v>
      </c>
      <c r="I86" t="s">
        <v>30</v>
      </c>
      <c r="J86" t="s">
        <v>23</v>
      </c>
      <c r="K86">
        <v>5.0999999999999996</v>
      </c>
      <c r="L86">
        <v>6</v>
      </c>
      <c r="M86">
        <v>7</v>
      </c>
      <c r="N86" t="s">
        <v>19</v>
      </c>
    </row>
    <row r="87" spans="1:14" x14ac:dyDescent="0.3">
      <c r="A87" t="s">
        <v>120</v>
      </c>
      <c r="B87">
        <v>26</v>
      </c>
      <c r="C87" t="s">
        <v>21</v>
      </c>
      <c r="D87" t="s">
        <v>48</v>
      </c>
      <c r="E87">
        <v>1</v>
      </c>
      <c r="F87">
        <v>4.17</v>
      </c>
      <c r="G87">
        <v>5</v>
      </c>
      <c r="H87">
        <v>71.400000000000006</v>
      </c>
      <c r="I87" t="s">
        <v>30</v>
      </c>
      <c r="J87" t="s">
        <v>23</v>
      </c>
      <c r="K87">
        <v>2.1</v>
      </c>
      <c r="L87">
        <v>5</v>
      </c>
      <c r="M87">
        <v>9.5</v>
      </c>
      <c r="N87" t="s">
        <v>24</v>
      </c>
    </row>
    <row r="88" spans="1:14" x14ac:dyDescent="0.3">
      <c r="A88" t="s">
        <v>121</v>
      </c>
      <c r="B88">
        <v>23</v>
      </c>
      <c r="C88" t="s">
        <v>15</v>
      </c>
      <c r="D88" t="s">
        <v>22</v>
      </c>
      <c r="E88">
        <v>2</v>
      </c>
      <c r="F88">
        <v>8.75</v>
      </c>
      <c r="G88">
        <v>6</v>
      </c>
      <c r="H88">
        <v>54.1</v>
      </c>
      <c r="I88" t="s">
        <v>17</v>
      </c>
      <c r="J88" t="s">
        <v>54</v>
      </c>
      <c r="K88">
        <v>2.2999999999999998</v>
      </c>
      <c r="L88">
        <v>5</v>
      </c>
      <c r="M88">
        <v>4.8</v>
      </c>
      <c r="N88" t="s">
        <v>19</v>
      </c>
    </row>
    <row r="89" spans="1:14" x14ac:dyDescent="0.3">
      <c r="A89" t="s">
        <v>122</v>
      </c>
      <c r="B89">
        <v>25</v>
      </c>
      <c r="C89" t="s">
        <v>21</v>
      </c>
      <c r="D89" t="s">
        <v>16</v>
      </c>
      <c r="E89">
        <v>2</v>
      </c>
      <c r="F89">
        <v>8.15</v>
      </c>
      <c r="G89">
        <v>9</v>
      </c>
      <c r="H89">
        <v>95.3</v>
      </c>
      <c r="I89" t="s">
        <v>27</v>
      </c>
      <c r="J89" t="s">
        <v>18</v>
      </c>
      <c r="K89">
        <v>6.2</v>
      </c>
      <c r="L89">
        <v>5</v>
      </c>
      <c r="M89">
        <v>3.7</v>
      </c>
      <c r="N89" t="s">
        <v>24</v>
      </c>
    </row>
    <row r="90" spans="1:14" x14ac:dyDescent="0.3">
      <c r="A90" t="s">
        <v>123</v>
      </c>
      <c r="B90">
        <v>18</v>
      </c>
      <c r="C90" t="s">
        <v>21</v>
      </c>
      <c r="D90" t="s">
        <v>37</v>
      </c>
      <c r="E90">
        <v>2</v>
      </c>
      <c r="F90">
        <v>8.39</v>
      </c>
      <c r="G90">
        <v>3</v>
      </c>
      <c r="H90">
        <v>69.5</v>
      </c>
      <c r="I90" t="s">
        <v>27</v>
      </c>
      <c r="J90" t="s">
        <v>35</v>
      </c>
      <c r="K90">
        <v>1.6</v>
      </c>
      <c r="L90">
        <v>10</v>
      </c>
      <c r="M90">
        <v>6.7</v>
      </c>
      <c r="N90" t="s">
        <v>19</v>
      </c>
    </row>
    <row r="91" spans="1:14" x14ac:dyDescent="0.3">
      <c r="A91" t="s">
        <v>124</v>
      </c>
      <c r="B91">
        <v>27</v>
      </c>
      <c r="C91" t="s">
        <v>15</v>
      </c>
      <c r="D91" t="s">
        <v>37</v>
      </c>
      <c r="E91">
        <v>1</v>
      </c>
      <c r="F91">
        <v>9.67</v>
      </c>
      <c r="G91">
        <v>2</v>
      </c>
      <c r="H91">
        <v>67.900000000000006</v>
      </c>
      <c r="I91" t="s">
        <v>27</v>
      </c>
      <c r="J91" t="s">
        <v>23</v>
      </c>
      <c r="K91">
        <v>2.7</v>
      </c>
      <c r="L91">
        <v>2</v>
      </c>
      <c r="M91">
        <v>5.7</v>
      </c>
      <c r="N91" t="s">
        <v>24</v>
      </c>
    </row>
    <row r="92" spans="1:14" x14ac:dyDescent="0.3">
      <c r="A92" t="s">
        <v>125</v>
      </c>
      <c r="B92">
        <v>24</v>
      </c>
      <c r="C92" t="s">
        <v>21</v>
      </c>
      <c r="D92" t="s">
        <v>29</v>
      </c>
      <c r="E92">
        <v>2</v>
      </c>
      <c r="F92">
        <v>6.28</v>
      </c>
      <c r="G92">
        <v>3</v>
      </c>
      <c r="H92">
        <v>62.6</v>
      </c>
      <c r="I92" t="s">
        <v>17</v>
      </c>
      <c r="J92" t="s">
        <v>18</v>
      </c>
      <c r="K92">
        <v>2.2000000000000002</v>
      </c>
      <c r="L92">
        <v>1</v>
      </c>
      <c r="M92">
        <v>4.8</v>
      </c>
      <c r="N92" t="s">
        <v>24</v>
      </c>
    </row>
    <row r="93" spans="1:14" x14ac:dyDescent="0.3">
      <c r="A93" t="s">
        <v>126</v>
      </c>
      <c r="B93">
        <v>20</v>
      </c>
      <c r="C93" t="s">
        <v>21</v>
      </c>
      <c r="D93" t="s">
        <v>26</v>
      </c>
      <c r="E93">
        <v>2</v>
      </c>
      <c r="F93">
        <v>9.0399999999999991</v>
      </c>
      <c r="G93">
        <v>7</v>
      </c>
      <c r="H93">
        <v>91.6</v>
      </c>
      <c r="I93" t="s">
        <v>27</v>
      </c>
      <c r="J93" t="s">
        <v>54</v>
      </c>
      <c r="K93">
        <v>5.3</v>
      </c>
      <c r="L93">
        <v>4</v>
      </c>
      <c r="M93">
        <v>8.1999999999999993</v>
      </c>
      <c r="N93" t="s">
        <v>24</v>
      </c>
    </row>
    <row r="94" spans="1:14" x14ac:dyDescent="0.3">
      <c r="A94" t="s">
        <v>127</v>
      </c>
      <c r="B94">
        <v>24</v>
      </c>
      <c r="C94" t="s">
        <v>15</v>
      </c>
      <c r="D94" t="s">
        <v>16</v>
      </c>
      <c r="E94">
        <v>2</v>
      </c>
      <c r="F94">
        <v>6.44</v>
      </c>
      <c r="G94">
        <v>8</v>
      </c>
      <c r="H94">
        <v>83.2</v>
      </c>
      <c r="I94" t="s">
        <v>30</v>
      </c>
      <c r="J94" t="s">
        <v>54</v>
      </c>
      <c r="K94">
        <v>3.9</v>
      </c>
      <c r="L94">
        <v>7</v>
      </c>
      <c r="M94">
        <v>4.9000000000000004</v>
      </c>
      <c r="N94" t="s">
        <v>24</v>
      </c>
    </row>
    <row r="95" spans="1:14" x14ac:dyDescent="0.3">
      <c r="A95" t="s">
        <v>128</v>
      </c>
      <c r="B95">
        <v>19</v>
      </c>
      <c r="C95" t="s">
        <v>15</v>
      </c>
      <c r="D95" t="s">
        <v>22</v>
      </c>
      <c r="E95">
        <v>1</v>
      </c>
      <c r="F95">
        <v>4.38</v>
      </c>
      <c r="G95">
        <v>5</v>
      </c>
      <c r="H95">
        <v>85.2</v>
      </c>
      <c r="I95" t="s">
        <v>27</v>
      </c>
      <c r="J95" t="s">
        <v>54</v>
      </c>
      <c r="K95">
        <v>2</v>
      </c>
      <c r="L95">
        <v>2</v>
      </c>
      <c r="M95">
        <v>4.3</v>
      </c>
      <c r="N95" t="s">
        <v>24</v>
      </c>
    </row>
    <row r="96" spans="1:14" x14ac:dyDescent="0.3">
      <c r="A96" t="s">
        <v>129</v>
      </c>
      <c r="B96">
        <v>27</v>
      </c>
      <c r="C96" t="s">
        <v>15</v>
      </c>
      <c r="D96" t="s">
        <v>43</v>
      </c>
      <c r="E96">
        <v>3</v>
      </c>
      <c r="F96">
        <v>5.69</v>
      </c>
      <c r="G96">
        <v>5</v>
      </c>
      <c r="H96">
        <v>87</v>
      </c>
      <c r="I96" t="s">
        <v>30</v>
      </c>
      <c r="J96" t="s">
        <v>18</v>
      </c>
      <c r="K96">
        <v>2.5</v>
      </c>
      <c r="L96">
        <v>9</v>
      </c>
      <c r="M96">
        <v>4.4000000000000004</v>
      </c>
      <c r="N96" t="s">
        <v>24</v>
      </c>
    </row>
    <row r="97" spans="1:14" x14ac:dyDescent="0.3">
      <c r="A97" t="s">
        <v>130</v>
      </c>
      <c r="B97">
        <v>25</v>
      </c>
      <c r="C97" t="s">
        <v>15</v>
      </c>
      <c r="D97" t="s">
        <v>43</v>
      </c>
      <c r="E97">
        <v>3</v>
      </c>
      <c r="F97">
        <v>6.49</v>
      </c>
      <c r="G97">
        <v>8</v>
      </c>
      <c r="H97">
        <v>98.9</v>
      </c>
      <c r="I97" t="s">
        <v>27</v>
      </c>
      <c r="J97" t="s">
        <v>18</v>
      </c>
      <c r="K97">
        <v>3.7</v>
      </c>
      <c r="L97">
        <v>2</v>
      </c>
      <c r="M97">
        <v>8.3000000000000007</v>
      </c>
      <c r="N97" t="s">
        <v>19</v>
      </c>
    </row>
    <row r="98" spans="1:14" x14ac:dyDescent="0.3">
      <c r="A98" t="s">
        <v>131</v>
      </c>
      <c r="B98">
        <v>18</v>
      </c>
      <c r="C98" t="s">
        <v>15</v>
      </c>
      <c r="D98" t="s">
        <v>22</v>
      </c>
      <c r="E98">
        <v>2</v>
      </c>
      <c r="F98">
        <v>9.06</v>
      </c>
      <c r="G98">
        <v>6</v>
      </c>
      <c r="H98">
        <v>80.8</v>
      </c>
      <c r="I98" t="s">
        <v>27</v>
      </c>
      <c r="J98" t="s">
        <v>33</v>
      </c>
      <c r="K98">
        <v>2.2999999999999998</v>
      </c>
      <c r="L98">
        <v>7</v>
      </c>
      <c r="M98">
        <v>4</v>
      </c>
      <c r="N98" t="s">
        <v>24</v>
      </c>
    </row>
    <row r="99" spans="1:14" x14ac:dyDescent="0.3">
      <c r="A99" t="s">
        <v>132</v>
      </c>
      <c r="B99">
        <v>19</v>
      </c>
      <c r="C99" t="s">
        <v>15</v>
      </c>
      <c r="D99" t="s">
        <v>26</v>
      </c>
      <c r="E99">
        <v>1</v>
      </c>
      <c r="F99">
        <v>6.96</v>
      </c>
      <c r="G99">
        <v>8</v>
      </c>
      <c r="H99">
        <v>57.6</v>
      </c>
      <c r="I99" t="s">
        <v>30</v>
      </c>
      <c r="J99" t="s">
        <v>54</v>
      </c>
      <c r="K99">
        <v>0.9</v>
      </c>
      <c r="L99">
        <v>5</v>
      </c>
      <c r="M99">
        <v>5.2</v>
      </c>
      <c r="N99" t="s">
        <v>24</v>
      </c>
    </row>
    <row r="100" spans="1:14" x14ac:dyDescent="0.3">
      <c r="A100" t="s">
        <v>133</v>
      </c>
      <c r="B100">
        <v>17</v>
      </c>
      <c r="C100" t="s">
        <v>21</v>
      </c>
      <c r="D100" t="s">
        <v>32</v>
      </c>
      <c r="E100">
        <v>3</v>
      </c>
      <c r="F100">
        <v>5.32</v>
      </c>
      <c r="G100">
        <v>8</v>
      </c>
      <c r="H100">
        <v>96.2</v>
      </c>
      <c r="I100" t="s">
        <v>30</v>
      </c>
      <c r="J100" t="s">
        <v>54</v>
      </c>
      <c r="K100">
        <v>8.8000000000000007</v>
      </c>
      <c r="L100">
        <v>5</v>
      </c>
      <c r="M100">
        <v>4.0999999999999996</v>
      </c>
      <c r="N100" t="s">
        <v>24</v>
      </c>
    </row>
    <row r="101" spans="1:14" x14ac:dyDescent="0.3">
      <c r="A101" t="s">
        <v>134</v>
      </c>
      <c r="B101">
        <v>17</v>
      </c>
      <c r="C101" t="s">
        <v>15</v>
      </c>
      <c r="D101" t="s">
        <v>16</v>
      </c>
      <c r="E101">
        <v>2</v>
      </c>
      <c r="F101">
        <v>9.3699999999999992</v>
      </c>
      <c r="G101">
        <v>10</v>
      </c>
      <c r="H101">
        <v>99.6</v>
      </c>
      <c r="I101" t="s">
        <v>27</v>
      </c>
      <c r="J101" t="s">
        <v>33</v>
      </c>
      <c r="K101">
        <v>3</v>
      </c>
      <c r="L101">
        <v>6</v>
      </c>
      <c r="M101">
        <v>8.6</v>
      </c>
      <c r="N101" t="s">
        <v>24</v>
      </c>
    </row>
    <row r="102" spans="1:14" x14ac:dyDescent="0.3">
      <c r="A102" t="s">
        <v>135</v>
      </c>
      <c r="B102">
        <v>19</v>
      </c>
      <c r="C102" t="s">
        <v>15</v>
      </c>
      <c r="D102" t="s">
        <v>16</v>
      </c>
      <c r="E102">
        <v>2</v>
      </c>
      <c r="F102">
        <v>9.08</v>
      </c>
      <c r="G102">
        <v>9</v>
      </c>
      <c r="H102">
        <v>97.4</v>
      </c>
      <c r="I102" t="s">
        <v>27</v>
      </c>
      <c r="J102" t="s">
        <v>33</v>
      </c>
      <c r="K102">
        <v>4.2</v>
      </c>
      <c r="L102">
        <v>7</v>
      </c>
      <c r="M102">
        <v>5.2</v>
      </c>
      <c r="N102" t="s">
        <v>24</v>
      </c>
    </row>
    <row r="103" spans="1:14" x14ac:dyDescent="0.3">
      <c r="A103" t="s">
        <v>136</v>
      </c>
      <c r="B103">
        <v>25</v>
      </c>
      <c r="C103" t="s">
        <v>21</v>
      </c>
      <c r="D103" t="s">
        <v>29</v>
      </c>
      <c r="E103">
        <v>1</v>
      </c>
      <c r="F103">
        <v>7.03</v>
      </c>
      <c r="G103">
        <v>6</v>
      </c>
      <c r="H103">
        <v>84</v>
      </c>
      <c r="I103" t="s">
        <v>17</v>
      </c>
      <c r="J103" t="s">
        <v>35</v>
      </c>
      <c r="K103">
        <v>8.9</v>
      </c>
      <c r="L103">
        <v>8</v>
      </c>
      <c r="M103">
        <v>6.7</v>
      </c>
      <c r="N103" t="s">
        <v>24</v>
      </c>
    </row>
    <row r="104" spans="1:14" x14ac:dyDescent="0.3">
      <c r="A104" t="s">
        <v>137</v>
      </c>
      <c r="B104">
        <v>25</v>
      </c>
      <c r="C104" t="s">
        <v>15</v>
      </c>
      <c r="D104" t="s">
        <v>43</v>
      </c>
      <c r="E104">
        <v>2</v>
      </c>
      <c r="F104">
        <v>9.25</v>
      </c>
      <c r="G104">
        <v>10</v>
      </c>
      <c r="H104">
        <v>90.2</v>
      </c>
      <c r="I104" t="s">
        <v>17</v>
      </c>
      <c r="J104" t="s">
        <v>18</v>
      </c>
      <c r="K104">
        <v>5.4</v>
      </c>
      <c r="L104">
        <v>2</v>
      </c>
      <c r="M104">
        <v>7.5</v>
      </c>
      <c r="N104" t="s">
        <v>19</v>
      </c>
    </row>
    <row r="105" spans="1:14" x14ac:dyDescent="0.3">
      <c r="A105" t="s">
        <v>138</v>
      </c>
      <c r="B105">
        <v>23</v>
      </c>
      <c r="C105" t="s">
        <v>15</v>
      </c>
      <c r="D105" t="s">
        <v>48</v>
      </c>
      <c r="E105">
        <v>2</v>
      </c>
      <c r="F105">
        <v>9.6999999999999993</v>
      </c>
      <c r="G105">
        <v>8</v>
      </c>
      <c r="H105">
        <v>61</v>
      </c>
      <c r="I105" t="s">
        <v>17</v>
      </c>
      <c r="J105" t="s">
        <v>23</v>
      </c>
      <c r="K105">
        <v>2.9</v>
      </c>
      <c r="L105">
        <v>1</v>
      </c>
      <c r="M105">
        <v>6.7</v>
      </c>
      <c r="N105" t="s">
        <v>24</v>
      </c>
    </row>
    <row r="106" spans="1:14" x14ac:dyDescent="0.3">
      <c r="A106" t="s">
        <v>139</v>
      </c>
      <c r="B106">
        <v>17</v>
      </c>
      <c r="C106" t="s">
        <v>21</v>
      </c>
      <c r="D106" t="s">
        <v>37</v>
      </c>
      <c r="E106">
        <v>3</v>
      </c>
      <c r="F106">
        <v>8.32</v>
      </c>
      <c r="G106">
        <v>3</v>
      </c>
      <c r="H106">
        <v>94.5</v>
      </c>
      <c r="I106" t="s">
        <v>27</v>
      </c>
      <c r="J106" t="s">
        <v>54</v>
      </c>
      <c r="K106">
        <v>2</v>
      </c>
      <c r="L106">
        <v>2</v>
      </c>
      <c r="M106">
        <v>7.3</v>
      </c>
      <c r="N106" t="s">
        <v>19</v>
      </c>
    </row>
    <row r="107" spans="1:14" x14ac:dyDescent="0.3">
      <c r="A107" t="s">
        <v>140</v>
      </c>
      <c r="B107">
        <v>21</v>
      </c>
      <c r="C107" t="s">
        <v>15</v>
      </c>
      <c r="D107" t="s">
        <v>32</v>
      </c>
      <c r="E107">
        <v>3</v>
      </c>
      <c r="F107">
        <v>8.64</v>
      </c>
      <c r="G107">
        <v>9</v>
      </c>
      <c r="H107">
        <v>99.9</v>
      </c>
      <c r="I107" t="s">
        <v>17</v>
      </c>
      <c r="J107" t="s">
        <v>33</v>
      </c>
      <c r="K107">
        <v>3.8</v>
      </c>
      <c r="L107">
        <v>2</v>
      </c>
      <c r="M107">
        <v>8.6</v>
      </c>
      <c r="N107" t="s">
        <v>24</v>
      </c>
    </row>
    <row r="108" spans="1:14" x14ac:dyDescent="0.3">
      <c r="A108" t="s">
        <v>141</v>
      </c>
      <c r="B108">
        <v>27</v>
      </c>
      <c r="C108" t="s">
        <v>21</v>
      </c>
      <c r="D108" t="s">
        <v>22</v>
      </c>
      <c r="E108">
        <v>2</v>
      </c>
      <c r="F108">
        <v>7.12</v>
      </c>
      <c r="G108">
        <v>6</v>
      </c>
      <c r="H108">
        <v>77.3</v>
      </c>
      <c r="I108" t="s">
        <v>30</v>
      </c>
      <c r="J108" t="s">
        <v>23</v>
      </c>
      <c r="K108">
        <v>5.7</v>
      </c>
      <c r="L108">
        <v>4</v>
      </c>
      <c r="M108">
        <v>5.6</v>
      </c>
      <c r="N108" t="s">
        <v>19</v>
      </c>
    </row>
    <row r="109" spans="1:14" x14ac:dyDescent="0.3">
      <c r="A109" t="s">
        <v>142</v>
      </c>
      <c r="B109">
        <v>23</v>
      </c>
      <c r="C109" t="s">
        <v>21</v>
      </c>
      <c r="D109" t="s">
        <v>32</v>
      </c>
      <c r="E109">
        <v>1</v>
      </c>
      <c r="F109">
        <v>8.89</v>
      </c>
      <c r="G109">
        <v>8</v>
      </c>
      <c r="H109">
        <v>50.9</v>
      </c>
      <c r="I109" t="s">
        <v>30</v>
      </c>
      <c r="J109" t="s">
        <v>18</v>
      </c>
      <c r="K109">
        <v>8.5</v>
      </c>
      <c r="L109">
        <v>6</v>
      </c>
      <c r="M109">
        <v>7.8</v>
      </c>
      <c r="N109" t="s">
        <v>24</v>
      </c>
    </row>
    <row r="110" spans="1:14" x14ac:dyDescent="0.3">
      <c r="A110" t="s">
        <v>143</v>
      </c>
      <c r="B110">
        <v>18</v>
      </c>
      <c r="C110" t="s">
        <v>15</v>
      </c>
      <c r="D110" t="s">
        <v>22</v>
      </c>
      <c r="E110">
        <v>2</v>
      </c>
      <c r="F110">
        <v>7.96</v>
      </c>
      <c r="G110">
        <v>5</v>
      </c>
      <c r="H110">
        <v>79.400000000000006</v>
      </c>
      <c r="I110" t="s">
        <v>17</v>
      </c>
      <c r="J110" t="s">
        <v>54</v>
      </c>
      <c r="K110">
        <v>5.7</v>
      </c>
      <c r="L110">
        <v>7</v>
      </c>
      <c r="M110">
        <v>4.2</v>
      </c>
      <c r="N110" t="s">
        <v>19</v>
      </c>
    </row>
    <row r="111" spans="1:14" x14ac:dyDescent="0.3">
      <c r="A111" t="s">
        <v>144</v>
      </c>
      <c r="B111">
        <v>27</v>
      </c>
      <c r="C111" t="s">
        <v>21</v>
      </c>
      <c r="D111" t="s">
        <v>37</v>
      </c>
      <c r="E111">
        <v>2</v>
      </c>
      <c r="F111">
        <v>5.47</v>
      </c>
      <c r="G111">
        <v>7</v>
      </c>
      <c r="H111">
        <v>89.2</v>
      </c>
      <c r="I111" t="s">
        <v>17</v>
      </c>
      <c r="J111" t="s">
        <v>18</v>
      </c>
      <c r="K111">
        <v>6.6</v>
      </c>
      <c r="L111">
        <v>5</v>
      </c>
      <c r="M111">
        <v>6.1</v>
      </c>
      <c r="N111" t="s">
        <v>19</v>
      </c>
    </row>
    <row r="112" spans="1:14" x14ac:dyDescent="0.3">
      <c r="A112" t="s">
        <v>145</v>
      </c>
      <c r="B112">
        <v>18</v>
      </c>
      <c r="C112" t="s">
        <v>21</v>
      </c>
      <c r="D112" t="s">
        <v>29</v>
      </c>
      <c r="E112">
        <v>1</v>
      </c>
      <c r="F112">
        <v>4.2300000000000004</v>
      </c>
      <c r="G112">
        <v>5</v>
      </c>
      <c r="H112">
        <v>60.8</v>
      </c>
      <c r="I112" t="s">
        <v>27</v>
      </c>
      <c r="J112" t="s">
        <v>54</v>
      </c>
      <c r="K112">
        <v>2.6</v>
      </c>
      <c r="L112">
        <v>3</v>
      </c>
      <c r="M112">
        <v>8.4</v>
      </c>
      <c r="N112" t="s">
        <v>24</v>
      </c>
    </row>
    <row r="113" spans="1:14" x14ac:dyDescent="0.3">
      <c r="A113" t="s">
        <v>146</v>
      </c>
      <c r="B113">
        <v>21</v>
      </c>
      <c r="C113" t="s">
        <v>21</v>
      </c>
      <c r="D113" t="s">
        <v>29</v>
      </c>
      <c r="E113">
        <v>2</v>
      </c>
      <c r="F113">
        <v>6.06</v>
      </c>
      <c r="G113">
        <v>7</v>
      </c>
      <c r="H113">
        <v>67.099999999999994</v>
      </c>
      <c r="I113" t="s">
        <v>30</v>
      </c>
      <c r="J113" t="s">
        <v>23</v>
      </c>
      <c r="K113">
        <v>0.1</v>
      </c>
      <c r="L113">
        <v>1</v>
      </c>
      <c r="M113">
        <v>9.8000000000000007</v>
      </c>
      <c r="N113" t="s">
        <v>24</v>
      </c>
    </row>
    <row r="114" spans="1:14" x14ac:dyDescent="0.3">
      <c r="A114" t="s">
        <v>147</v>
      </c>
      <c r="B114">
        <v>19</v>
      </c>
      <c r="C114" t="s">
        <v>21</v>
      </c>
      <c r="D114" t="s">
        <v>37</v>
      </c>
      <c r="E114">
        <v>3</v>
      </c>
      <c r="F114">
        <v>6.97</v>
      </c>
      <c r="G114">
        <v>5</v>
      </c>
      <c r="H114">
        <v>59.9</v>
      </c>
      <c r="I114" t="s">
        <v>17</v>
      </c>
      <c r="J114" t="s">
        <v>18</v>
      </c>
      <c r="K114">
        <v>2.9</v>
      </c>
      <c r="L114">
        <v>10</v>
      </c>
      <c r="M114">
        <v>6.5</v>
      </c>
      <c r="N114" t="s">
        <v>19</v>
      </c>
    </row>
    <row r="115" spans="1:14" x14ac:dyDescent="0.3">
      <c r="A115" t="s">
        <v>148</v>
      </c>
      <c r="B115">
        <v>18</v>
      </c>
      <c r="C115" t="s">
        <v>21</v>
      </c>
      <c r="D115" t="s">
        <v>32</v>
      </c>
      <c r="E115">
        <v>1</v>
      </c>
      <c r="F115">
        <v>4.79</v>
      </c>
      <c r="G115">
        <v>8</v>
      </c>
      <c r="H115">
        <v>70.400000000000006</v>
      </c>
      <c r="I115" t="s">
        <v>27</v>
      </c>
      <c r="J115" t="s">
        <v>35</v>
      </c>
      <c r="K115">
        <v>6.4</v>
      </c>
      <c r="L115">
        <v>4</v>
      </c>
      <c r="M115">
        <v>9.9</v>
      </c>
      <c r="N115" t="s">
        <v>24</v>
      </c>
    </row>
    <row r="116" spans="1:14" x14ac:dyDescent="0.3">
      <c r="A116" t="s">
        <v>149</v>
      </c>
      <c r="B116">
        <v>26</v>
      </c>
      <c r="C116" t="s">
        <v>15</v>
      </c>
      <c r="D116" t="s">
        <v>32</v>
      </c>
      <c r="E116">
        <v>3</v>
      </c>
      <c r="F116">
        <v>7.2</v>
      </c>
      <c r="G116">
        <v>3</v>
      </c>
      <c r="H116">
        <v>60.4</v>
      </c>
      <c r="I116" t="s">
        <v>17</v>
      </c>
      <c r="J116" t="s">
        <v>33</v>
      </c>
      <c r="K116">
        <v>1.3</v>
      </c>
      <c r="L116">
        <v>5</v>
      </c>
      <c r="M116">
        <v>9.9</v>
      </c>
      <c r="N116" t="s">
        <v>24</v>
      </c>
    </row>
    <row r="117" spans="1:14" x14ac:dyDescent="0.3">
      <c r="A117" t="s">
        <v>150</v>
      </c>
      <c r="B117">
        <v>19</v>
      </c>
      <c r="C117" t="s">
        <v>15</v>
      </c>
      <c r="D117" t="s">
        <v>22</v>
      </c>
      <c r="E117">
        <v>1</v>
      </c>
      <c r="F117">
        <v>4.63</v>
      </c>
      <c r="G117">
        <v>2</v>
      </c>
      <c r="H117">
        <v>92.1</v>
      </c>
      <c r="I117" t="s">
        <v>27</v>
      </c>
      <c r="J117" t="s">
        <v>33</v>
      </c>
      <c r="K117">
        <v>3.1</v>
      </c>
      <c r="L117">
        <v>7</v>
      </c>
      <c r="M117">
        <v>7</v>
      </c>
      <c r="N117" t="s">
        <v>19</v>
      </c>
    </row>
    <row r="118" spans="1:14" x14ac:dyDescent="0.3">
      <c r="A118" t="s">
        <v>151</v>
      </c>
      <c r="B118">
        <v>19</v>
      </c>
      <c r="C118" t="s">
        <v>15</v>
      </c>
      <c r="D118" t="s">
        <v>43</v>
      </c>
      <c r="E118">
        <v>2</v>
      </c>
      <c r="F118">
        <v>4.04</v>
      </c>
      <c r="G118">
        <v>5</v>
      </c>
      <c r="H118">
        <v>75.400000000000006</v>
      </c>
      <c r="I118" t="s">
        <v>30</v>
      </c>
      <c r="J118" t="s">
        <v>33</v>
      </c>
      <c r="K118">
        <v>3</v>
      </c>
      <c r="L118">
        <v>8</v>
      </c>
      <c r="M118">
        <v>7.2</v>
      </c>
      <c r="N118" t="s">
        <v>19</v>
      </c>
    </row>
    <row r="119" spans="1:14" x14ac:dyDescent="0.3">
      <c r="A119" t="s">
        <v>152</v>
      </c>
      <c r="B119">
        <v>18</v>
      </c>
      <c r="C119" t="s">
        <v>21</v>
      </c>
      <c r="D119" t="s">
        <v>39</v>
      </c>
      <c r="E119">
        <v>1</v>
      </c>
      <c r="F119">
        <v>6.13</v>
      </c>
      <c r="G119">
        <v>9</v>
      </c>
      <c r="H119">
        <v>88.7</v>
      </c>
      <c r="I119" t="s">
        <v>17</v>
      </c>
      <c r="J119" t="s">
        <v>33</v>
      </c>
      <c r="K119">
        <v>5.9</v>
      </c>
      <c r="L119">
        <v>5</v>
      </c>
      <c r="M119">
        <v>4.9000000000000004</v>
      </c>
      <c r="N119" t="s">
        <v>19</v>
      </c>
    </row>
    <row r="120" spans="1:14" x14ac:dyDescent="0.3">
      <c r="A120" t="s">
        <v>153</v>
      </c>
      <c r="B120">
        <v>20</v>
      </c>
      <c r="C120" t="s">
        <v>21</v>
      </c>
      <c r="D120" t="s">
        <v>37</v>
      </c>
      <c r="E120">
        <v>2</v>
      </c>
      <c r="F120">
        <v>4.41</v>
      </c>
      <c r="G120">
        <v>10</v>
      </c>
      <c r="H120">
        <v>90.7</v>
      </c>
      <c r="I120" t="s">
        <v>30</v>
      </c>
      <c r="J120" t="s">
        <v>33</v>
      </c>
      <c r="K120">
        <v>0.4</v>
      </c>
      <c r="L120">
        <v>9</v>
      </c>
      <c r="M120">
        <v>5.8</v>
      </c>
      <c r="N120" t="s">
        <v>19</v>
      </c>
    </row>
    <row r="121" spans="1:14" x14ac:dyDescent="0.3">
      <c r="A121" t="s">
        <v>154</v>
      </c>
      <c r="B121">
        <v>19</v>
      </c>
      <c r="C121" t="s">
        <v>21</v>
      </c>
      <c r="D121" t="s">
        <v>26</v>
      </c>
      <c r="E121">
        <v>1</v>
      </c>
      <c r="F121">
        <v>7.38</v>
      </c>
      <c r="G121">
        <v>4</v>
      </c>
      <c r="H121">
        <v>65.7</v>
      </c>
      <c r="I121" t="s">
        <v>17</v>
      </c>
      <c r="J121" t="s">
        <v>33</v>
      </c>
      <c r="K121">
        <v>3.7</v>
      </c>
      <c r="L121">
        <v>5</v>
      </c>
      <c r="M121">
        <v>9.4</v>
      </c>
      <c r="N121" t="s">
        <v>19</v>
      </c>
    </row>
    <row r="122" spans="1:14" x14ac:dyDescent="0.3">
      <c r="A122" t="s">
        <v>155</v>
      </c>
      <c r="B122">
        <v>17</v>
      </c>
      <c r="C122" t="s">
        <v>15</v>
      </c>
      <c r="D122" t="s">
        <v>48</v>
      </c>
      <c r="E122">
        <v>3</v>
      </c>
      <c r="F122">
        <v>8.9600000000000009</v>
      </c>
      <c r="G122">
        <v>3</v>
      </c>
      <c r="H122">
        <v>63</v>
      </c>
      <c r="I122" t="s">
        <v>30</v>
      </c>
      <c r="J122" t="s">
        <v>54</v>
      </c>
      <c r="K122">
        <v>6</v>
      </c>
      <c r="L122">
        <v>8</v>
      </c>
      <c r="M122">
        <v>5.6</v>
      </c>
      <c r="N122" t="s">
        <v>19</v>
      </c>
    </row>
    <row r="123" spans="1:14" x14ac:dyDescent="0.3">
      <c r="A123" t="s">
        <v>156</v>
      </c>
      <c r="B123">
        <v>26</v>
      </c>
      <c r="C123" t="s">
        <v>15</v>
      </c>
      <c r="D123" t="s">
        <v>39</v>
      </c>
      <c r="E123">
        <v>1</v>
      </c>
      <c r="F123">
        <v>5.48</v>
      </c>
      <c r="G123">
        <v>5</v>
      </c>
      <c r="H123">
        <v>70.5</v>
      </c>
      <c r="I123" t="s">
        <v>17</v>
      </c>
      <c r="J123" t="s">
        <v>18</v>
      </c>
      <c r="K123">
        <v>6.7</v>
      </c>
      <c r="L123">
        <v>10</v>
      </c>
      <c r="M123">
        <v>6.8</v>
      </c>
      <c r="N123" t="s">
        <v>19</v>
      </c>
    </row>
    <row r="124" spans="1:14" x14ac:dyDescent="0.3">
      <c r="A124" t="s">
        <v>157</v>
      </c>
      <c r="B124">
        <v>25</v>
      </c>
      <c r="C124" t="s">
        <v>15</v>
      </c>
      <c r="D124" t="s">
        <v>32</v>
      </c>
      <c r="E124">
        <v>1</v>
      </c>
      <c r="F124">
        <v>9.4499999999999993</v>
      </c>
      <c r="G124">
        <v>5</v>
      </c>
      <c r="H124">
        <v>82</v>
      </c>
      <c r="I124" t="s">
        <v>17</v>
      </c>
      <c r="J124" t="s">
        <v>23</v>
      </c>
      <c r="K124">
        <v>5.8</v>
      </c>
      <c r="L124">
        <v>9</v>
      </c>
      <c r="M124">
        <v>8.8000000000000007</v>
      </c>
      <c r="N124" t="s">
        <v>24</v>
      </c>
    </row>
    <row r="125" spans="1:14" x14ac:dyDescent="0.3">
      <c r="A125" t="s">
        <v>158</v>
      </c>
      <c r="B125">
        <v>23</v>
      </c>
      <c r="C125" t="s">
        <v>15</v>
      </c>
      <c r="D125" t="s">
        <v>32</v>
      </c>
      <c r="E125">
        <v>3</v>
      </c>
      <c r="F125">
        <v>6.3</v>
      </c>
      <c r="G125">
        <v>10</v>
      </c>
      <c r="H125">
        <v>92.4</v>
      </c>
      <c r="I125" t="s">
        <v>17</v>
      </c>
      <c r="J125" t="s">
        <v>33</v>
      </c>
      <c r="K125">
        <v>4.4000000000000004</v>
      </c>
      <c r="L125">
        <v>7</v>
      </c>
      <c r="M125">
        <v>6.3</v>
      </c>
      <c r="N125" t="s">
        <v>24</v>
      </c>
    </row>
    <row r="126" spans="1:14" x14ac:dyDescent="0.3">
      <c r="A126" t="s">
        <v>159</v>
      </c>
      <c r="B126">
        <v>20</v>
      </c>
      <c r="C126" t="s">
        <v>21</v>
      </c>
      <c r="D126" t="s">
        <v>26</v>
      </c>
      <c r="E126">
        <v>1</v>
      </c>
      <c r="F126">
        <v>5.52</v>
      </c>
      <c r="G126">
        <v>3</v>
      </c>
      <c r="H126">
        <v>93</v>
      </c>
      <c r="I126" t="s">
        <v>17</v>
      </c>
      <c r="J126" t="s">
        <v>23</v>
      </c>
      <c r="K126">
        <v>8.6</v>
      </c>
      <c r="L126">
        <v>6</v>
      </c>
      <c r="M126">
        <v>9.6999999999999993</v>
      </c>
      <c r="N126" t="s">
        <v>19</v>
      </c>
    </row>
    <row r="127" spans="1:14" x14ac:dyDescent="0.3">
      <c r="A127" t="s">
        <v>160</v>
      </c>
      <c r="B127">
        <v>20</v>
      </c>
      <c r="C127" t="s">
        <v>21</v>
      </c>
      <c r="D127" t="s">
        <v>39</v>
      </c>
      <c r="E127">
        <v>2</v>
      </c>
      <c r="F127">
        <v>7.82</v>
      </c>
      <c r="G127">
        <v>7</v>
      </c>
      <c r="H127">
        <v>54.7</v>
      </c>
      <c r="I127" t="s">
        <v>27</v>
      </c>
      <c r="J127" t="s">
        <v>23</v>
      </c>
      <c r="K127">
        <v>5.3</v>
      </c>
      <c r="L127">
        <v>7</v>
      </c>
      <c r="M127">
        <v>8.6999999999999993</v>
      </c>
      <c r="N127" t="s">
        <v>24</v>
      </c>
    </row>
    <row r="128" spans="1:14" x14ac:dyDescent="0.3">
      <c r="A128" t="s">
        <v>161</v>
      </c>
      <c r="B128">
        <v>25</v>
      </c>
      <c r="C128" t="s">
        <v>15</v>
      </c>
      <c r="D128" t="s">
        <v>22</v>
      </c>
      <c r="E128">
        <v>1</v>
      </c>
      <c r="F128">
        <v>7.32</v>
      </c>
      <c r="G128">
        <v>8</v>
      </c>
      <c r="H128">
        <v>79.8</v>
      </c>
      <c r="I128" t="s">
        <v>30</v>
      </c>
      <c r="J128" t="s">
        <v>33</v>
      </c>
      <c r="K128">
        <v>6.8</v>
      </c>
      <c r="L128">
        <v>10</v>
      </c>
      <c r="M128">
        <v>8.8000000000000007</v>
      </c>
      <c r="N128" t="s">
        <v>19</v>
      </c>
    </row>
    <row r="129" spans="1:14" x14ac:dyDescent="0.3">
      <c r="A129" t="s">
        <v>162</v>
      </c>
      <c r="B129">
        <v>23</v>
      </c>
      <c r="C129" t="s">
        <v>21</v>
      </c>
      <c r="D129" t="s">
        <v>37</v>
      </c>
      <c r="E129">
        <v>2</v>
      </c>
      <c r="F129">
        <v>4.54</v>
      </c>
      <c r="G129">
        <v>3</v>
      </c>
      <c r="H129">
        <v>93.6</v>
      </c>
      <c r="I129" t="s">
        <v>27</v>
      </c>
      <c r="J129" t="s">
        <v>54</v>
      </c>
      <c r="K129">
        <v>1</v>
      </c>
      <c r="L129">
        <v>3</v>
      </c>
      <c r="M129">
        <v>9.8000000000000007</v>
      </c>
      <c r="N129" t="s">
        <v>24</v>
      </c>
    </row>
    <row r="130" spans="1:14" x14ac:dyDescent="0.3">
      <c r="A130" t="s">
        <v>163</v>
      </c>
      <c r="B130">
        <v>25</v>
      </c>
      <c r="C130" t="s">
        <v>21</v>
      </c>
      <c r="D130" t="s">
        <v>32</v>
      </c>
      <c r="E130">
        <v>3</v>
      </c>
      <c r="F130">
        <v>7.03</v>
      </c>
      <c r="G130">
        <v>7</v>
      </c>
      <c r="H130">
        <v>75.2</v>
      </c>
      <c r="I130" t="s">
        <v>27</v>
      </c>
      <c r="J130" t="s">
        <v>33</v>
      </c>
      <c r="K130">
        <v>4.0999999999999996</v>
      </c>
      <c r="L130">
        <v>1</v>
      </c>
      <c r="M130">
        <v>8.8000000000000007</v>
      </c>
      <c r="N130" t="s">
        <v>24</v>
      </c>
    </row>
    <row r="131" spans="1:14" x14ac:dyDescent="0.3">
      <c r="A131" t="s">
        <v>164</v>
      </c>
      <c r="B131">
        <v>17</v>
      </c>
      <c r="C131" t="s">
        <v>21</v>
      </c>
      <c r="D131" t="s">
        <v>37</v>
      </c>
      <c r="E131">
        <v>3</v>
      </c>
      <c r="F131">
        <v>9.06</v>
      </c>
      <c r="G131">
        <v>2</v>
      </c>
      <c r="H131">
        <v>97.8</v>
      </c>
      <c r="I131" t="s">
        <v>30</v>
      </c>
      <c r="J131" t="s">
        <v>54</v>
      </c>
      <c r="K131">
        <v>0.2</v>
      </c>
      <c r="L131">
        <v>5</v>
      </c>
      <c r="M131">
        <v>7.3</v>
      </c>
      <c r="N131" t="s">
        <v>24</v>
      </c>
    </row>
    <row r="132" spans="1:14" x14ac:dyDescent="0.3">
      <c r="A132" t="s">
        <v>165</v>
      </c>
      <c r="B132">
        <v>18</v>
      </c>
      <c r="C132" t="s">
        <v>15</v>
      </c>
      <c r="D132" t="s">
        <v>26</v>
      </c>
      <c r="E132">
        <v>1</v>
      </c>
      <c r="F132">
        <v>4.8899999999999997</v>
      </c>
      <c r="G132">
        <v>3</v>
      </c>
      <c r="H132">
        <v>75.3</v>
      </c>
      <c r="I132" t="s">
        <v>17</v>
      </c>
      <c r="J132" t="s">
        <v>23</v>
      </c>
      <c r="K132">
        <v>5.4</v>
      </c>
      <c r="L132">
        <v>8</v>
      </c>
      <c r="M132">
        <v>3.7</v>
      </c>
      <c r="N132" t="s">
        <v>24</v>
      </c>
    </row>
    <row r="133" spans="1:14" x14ac:dyDescent="0.3">
      <c r="A133" t="s">
        <v>166</v>
      </c>
      <c r="B133">
        <v>20</v>
      </c>
      <c r="C133" t="s">
        <v>21</v>
      </c>
      <c r="D133" t="s">
        <v>29</v>
      </c>
      <c r="E133">
        <v>2</v>
      </c>
      <c r="F133">
        <v>4.49</v>
      </c>
      <c r="G133">
        <v>7</v>
      </c>
      <c r="H133">
        <v>73.8</v>
      </c>
      <c r="I133" t="s">
        <v>17</v>
      </c>
      <c r="J133" t="s">
        <v>23</v>
      </c>
      <c r="K133">
        <v>8.1999999999999993</v>
      </c>
      <c r="L133">
        <v>5</v>
      </c>
      <c r="M133">
        <v>6.3</v>
      </c>
      <c r="N133" t="s">
        <v>19</v>
      </c>
    </row>
    <row r="134" spans="1:14" x14ac:dyDescent="0.3">
      <c r="A134" t="s">
        <v>167</v>
      </c>
      <c r="B134">
        <v>26</v>
      </c>
      <c r="C134" t="s">
        <v>21</v>
      </c>
      <c r="D134" t="s">
        <v>26</v>
      </c>
      <c r="E134">
        <v>1</v>
      </c>
      <c r="F134">
        <v>4.5</v>
      </c>
      <c r="G134">
        <v>9</v>
      </c>
      <c r="H134">
        <v>96</v>
      </c>
      <c r="I134" t="s">
        <v>27</v>
      </c>
      <c r="J134" t="s">
        <v>23</v>
      </c>
      <c r="K134">
        <v>1.6</v>
      </c>
      <c r="L134">
        <v>3</v>
      </c>
      <c r="M134">
        <v>8.6</v>
      </c>
      <c r="N134" t="s">
        <v>19</v>
      </c>
    </row>
    <row r="135" spans="1:14" x14ac:dyDescent="0.3">
      <c r="A135" t="s">
        <v>168</v>
      </c>
      <c r="B135">
        <v>22</v>
      </c>
      <c r="C135" t="s">
        <v>15</v>
      </c>
      <c r="D135" t="s">
        <v>16</v>
      </c>
      <c r="E135">
        <v>3</v>
      </c>
      <c r="F135">
        <v>6.15</v>
      </c>
      <c r="G135">
        <v>4</v>
      </c>
      <c r="H135">
        <v>58.2</v>
      </c>
      <c r="I135" t="s">
        <v>17</v>
      </c>
      <c r="J135" t="s">
        <v>23</v>
      </c>
      <c r="K135">
        <v>5.3</v>
      </c>
      <c r="L135">
        <v>8</v>
      </c>
      <c r="M135">
        <v>8.4</v>
      </c>
      <c r="N135" t="s">
        <v>19</v>
      </c>
    </row>
    <row r="136" spans="1:14" x14ac:dyDescent="0.3">
      <c r="A136" t="s">
        <v>169</v>
      </c>
      <c r="B136">
        <v>20</v>
      </c>
      <c r="C136" t="s">
        <v>21</v>
      </c>
      <c r="D136" t="s">
        <v>37</v>
      </c>
      <c r="E136">
        <v>2</v>
      </c>
      <c r="F136">
        <v>5.33</v>
      </c>
      <c r="G136">
        <v>9</v>
      </c>
      <c r="H136">
        <v>78.400000000000006</v>
      </c>
      <c r="I136" t="s">
        <v>30</v>
      </c>
      <c r="J136" t="s">
        <v>54</v>
      </c>
      <c r="K136">
        <v>6.2</v>
      </c>
      <c r="L136">
        <v>3</v>
      </c>
      <c r="M136">
        <v>7.2</v>
      </c>
      <c r="N136" t="s">
        <v>19</v>
      </c>
    </row>
    <row r="137" spans="1:14" x14ac:dyDescent="0.3">
      <c r="A137" t="s">
        <v>170</v>
      </c>
      <c r="B137">
        <v>27</v>
      </c>
      <c r="C137" t="s">
        <v>15</v>
      </c>
      <c r="D137" t="s">
        <v>29</v>
      </c>
      <c r="E137">
        <v>2</v>
      </c>
      <c r="F137">
        <v>5.27</v>
      </c>
      <c r="G137">
        <v>2</v>
      </c>
      <c r="H137">
        <v>73.3</v>
      </c>
      <c r="I137" t="s">
        <v>17</v>
      </c>
      <c r="J137" t="s">
        <v>18</v>
      </c>
      <c r="K137">
        <v>2.1</v>
      </c>
      <c r="L137">
        <v>10</v>
      </c>
      <c r="M137">
        <v>7.4</v>
      </c>
      <c r="N137" t="s">
        <v>24</v>
      </c>
    </row>
    <row r="138" spans="1:14" x14ac:dyDescent="0.3">
      <c r="A138" t="s">
        <v>171</v>
      </c>
      <c r="B138">
        <v>20</v>
      </c>
      <c r="C138" t="s">
        <v>21</v>
      </c>
      <c r="D138" t="s">
        <v>32</v>
      </c>
      <c r="E138">
        <v>2</v>
      </c>
      <c r="F138">
        <v>7.49</v>
      </c>
      <c r="G138">
        <v>3</v>
      </c>
      <c r="H138">
        <v>83.2</v>
      </c>
      <c r="I138" t="s">
        <v>17</v>
      </c>
      <c r="J138" t="s">
        <v>18</v>
      </c>
      <c r="K138">
        <v>4.5999999999999996</v>
      </c>
      <c r="L138">
        <v>3</v>
      </c>
      <c r="M138">
        <v>7.5</v>
      </c>
      <c r="N138" t="s">
        <v>24</v>
      </c>
    </row>
    <row r="139" spans="1:14" x14ac:dyDescent="0.3">
      <c r="A139" t="s">
        <v>172</v>
      </c>
      <c r="B139">
        <v>25</v>
      </c>
      <c r="C139" t="s">
        <v>15</v>
      </c>
      <c r="D139" t="s">
        <v>48</v>
      </c>
      <c r="E139">
        <v>2</v>
      </c>
      <c r="F139">
        <v>4.24</v>
      </c>
      <c r="G139">
        <v>6</v>
      </c>
      <c r="H139">
        <v>66.900000000000006</v>
      </c>
      <c r="I139" t="s">
        <v>17</v>
      </c>
      <c r="J139" t="s">
        <v>35</v>
      </c>
      <c r="K139">
        <v>6.1</v>
      </c>
      <c r="L139">
        <v>6</v>
      </c>
      <c r="M139">
        <v>8.6</v>
      </c>
      <c r="N139" t="s">
        <v>19</v>
      </c>
    </row>
    <row r="140" spans="1:14" x14ac:dyDescent="0.3">
      <c r="A140" t="s">
        <v>173</v>
      </c>
      <c r="B140">
        <v>23</v>
      </c>
      <c r="C140" t="s">
        <v>21</v>
      </c>
      <c r="D140" t="s">
        <v>48</v>
      </c>
      <c r="E140">
        <v>1</v>
      </c>
      <c r="F140">
        <v>9.2799999999999994</v>
      </c>
      <c r="G140">
        <v>10</v>
      </c>
      <c r="H140">
        <v>93</v>
      </c>
      <c r="I140" t="s">
        <v>17</v>
      </c>
      <c r="J140" t="s">
        <v>23</v>
      </c>
      <c r="K140">
        <v>7.8</v>
      </c>
      <c r="L140">
        <v>8</v>
      </c>
      <c r="M140">
        <v>6</v>
      </c>
      <c r="N140" t="s">
        <v>24</v>
      </c>
    </row>
    <row r="141" spans="1:14" x14ac:dyDescent="0.3">
      <c r="A141" t="s">
        <v>174</v>
      </c>
      <c r="B141">
        <v>25</v>
      </c>
      <c r="C141" t="s">
        <v>15</v>
      </c>
      <c r="D141" t="s">
        <v>37</v>
      </c>
      <c r="E141">
        <v>3</v>
      </c>
      <c r="F141">
        <v>7.3</v>
      </c>
      <c r="G141">
        <v>2</v>
      </c>
      <c r="H141">
        <v>80.099999999999994</v>
      </c>
      <c r="I141" t="s">
        <v>27</v>
      </c>
      <c r="J141" t="s">
        <v>54</v>
      </c>
      <c r="K141">
        <v>3.7</v>
      </c>
      <c r="L141">
        <v>2</v>
      </c>
      <c r="M141">
        <v>4.7</v>
      </c>
      <c r="N141" t="s">
        <v>19</v>
      </c>
    </row>
    <row r="142" spans="1:14" x14ac:dyDescent="0.3">
      <c r="A142" t="s">
        <v>175</v>
      </c>
      <c r="B142">
        <v>24</v>
      </c>
      <c r="C142" t="s">
        <v>15</v>
      </c>
      <c r="D142" t="s">
        <v>16</v>
      </c>
      <c r="E142">
        <v>1</v>
      </c>
      <c r="F142">
        <v>9.6300000000000008</v>
      </c>
      <c r="G142">
        <v>4</v>
      </c>
      <c r="H142">
        <v>64</v>
      </c>
      <c r="I142" t="s">
        <v>30</v>
      </c>
      <c r="J142" t="s">
        <v>35</v>
      </c>
      <c r="K142">
        <v>3</v>
      </c>
      <c r="L142">
        <v>7</v>
      </c>
      <c r="M142">
        <v>5.5</v>
      </c>
      <c r="N142" t="s">
        <v>19</v>
      </c>
    </row>
    <row r="143" spans="1:14" x14ac:dyDescent="0.3">
      <c r="A143" t="s">
        <v>176</v>
      </c>
      <c r="B143">
        <v>23</v>
      </c>
      <c r="C143" t="s">
        <v>15</v>
      </c>
      <c r="D143" t="s">
        <v>32</v>
      </c>
      <c r="E143">
        <v>2</v>
      </c>
      <c r="F143">
        <v>5.99</v>
      </c>
      <c r="G143">
        <v>9</v>
      </c>
      <c r="H143">
        <v>79.5</v>
      </c>
      <c r="I143" t="s">
        <v>27</v>
      </c>
      <c r="J143" t="s">
        <v>54</v>
      </c>
      <c r="K143">
        <v>5.8</v>
      </c>
      <c r="L143">
        <v>5</v>
      </c>
      <c r="M143">
        <v>8.1</v>
      </c>
      <c r="N143" t="s">
        <v>19</v>
      </c>
    </row>
    <row r="144" spans="1:14" x14ac:dyDescent="0.3">
      <c r="A144" t="s">
        <v>177</v>
      </c>
      <c r="B144">
        <v>26</v>
      </c>
      <c r="C144" t="s">
        <v>21</v>
      </c>
      <c r="D144" t="s">
        <v>26</v>
      </c>
      <c r="E144">
        <v>1</v>
      </c>
      <c r="F144">
        <v>7.59</v>
      </c>
      <c r="G144">
        <v>10</v>
      </c>
      <c r="H144">
        <v>95.5</v>
      </c>
      <c r="I144" t="s">
        <v>27</v>
      </c>
      <c r="J144" t="s">
        <v>33</v>
      </c>
      <c r="K144">
        <v>7</v>
      </c>
      <c r="L144">
        <v>1</v>
      </c>
      <c r="M144">
        <v>4.7</v>
      </c>
      <c r="N144" t="s">
        <v>24</v>
      </c>
    </row>
    <row r="145" spans="1:14" x14ac:dyDescent="0.3">
      <c r="A145" t="s">
        <v>178</v>
      </c>
      <c r="B145">
        <v>17</v>
      </c>
      <c r="C145" t="s">
        <v>15</v>
      </c>
      <c r="D145" t="s">
        <v>39</v>
      </c>
      <c r="E145">
        <v>1</v>
      </c>
      <c r="F145">
        <v>5.8</v>
      </c>
      <c r="G145">
        <v>7</v>
      </c>
      <c r="H145">
        <v>69.900000000000006</v>
      </c>
      <c r="I145" t="s">
        <v>17</v>
      </c>
      <c r="J145" t="s">
        <v>23</v>
      </c>
      <c r="K145">
        <v>8.8000000000000007</v>
      </c>
      <c r="L145">
        <v>4</v>
      </c>
      <c r="M145">
        <v>4.8</v>
      </c>
      <c r="N145" t="s">
        <v>24</v>
      </c>
    </row>
    <row r="146" spans="1:14" x14ac:dyDescent="0.3">
      <c r="A146" t="s">
        <v>179</v>
      </c>
      <c r="B146">
        <v>19</v>
      </c>
      <c r="C146" t="s">
        <v>21</v>
      </c>
      <c r="D146" t="s">
        <v>16</v>
      </c>
      <c r="E146">
        <v>3</v>
      </c>
      <c r="F146">
        <v>8.7100000000000009</v>
      </c>
      <c r="G146">
        <v>9</v>
      </c>
      <c r="H146">
        <v>86</v>
      </c>
      <c r="I146" t="s">
        <v>30</v>
      </c>
      <c r="J146" t="s">
        <v>18</v>
      </c>
      <c r="K146">
        <v>7.4</v>
      </c>
      <c r="L146">
        <v>2</v>
      </c>
      <c r="M146">
        <v>6.4</v>
      </c>
      <c r="N146" t="s">
        <v>19</v>
      </c>
    </row>
    <row r="147" spans="1:14" x14ac:dyDescent="0.3">
      <c r="A147" t="s">
        <v>180</v>
      </c>
      <c r="B147">
        <v>27</v>
      </c>
      <c r="C147" t="s">
        <v>15</v>
      </c>
      <c r="D147" t="s">
        <v>48</v>
      </c>
      <c r="E147">
        <v>1</v>
      </c>
      <c r="F147">
        <v>6.32</v>
      </c>
      <c r="G147">
        <v>6</v>
      </c>
      <c r="H147">
        <v>86.3</v>
      </c>
      <c r="I147" t="s">
        <v>17</v>
      </c>
      <c r="J147" t="s">
        <v>54</v>
      </c>
      <c r="K147">
        <v>6.4</v>
      </c>
      <c r="L147">
        <v>1</v>
      </c>
      <c r="M147">
        <v>7.5</v>
      </c>
      <c r="N147" t="s">
        <v>24</v>
      </c>
    </row>
    <row r="148" spans="1:14" x14ac:dyDescent="0.3">
      <c r="A148" t="s">
        <v>181</v>
      </c>
      <c r="B148">
        <v>17</v>
      </c>
      <c r="C148" t="s">
        <v>15</v>
      </c>
      <c r="D148" t="s">
        <v>32</v>
      </c>
      <c r="E148">
        <v>1</v>
      </c>
      <c r="F148">
        <v>7.92</v>
      </c>
      <c r="G148">
        <v>6</v>
      </c>
      <c r="H148">
        <v>93.5</v>
      </c>
      <c r="I148" t="s">
        <v>27</v>
      </c>
      <c r="J148" t="s">
        <v>33</v>
      </c>
      <c r="K148">
        <v>5.3</v>
      </c>
      <c r="L148">
        <v>6</v>
      </c>
      <c r="M148">
        <v>4.7</v>
      </c>
      <c r="N148" t="s">
        <v>19</v>
      </c>
    </row>
    <row r="149" spans="1:14" x14ac:dyDescent="0.3">
      <c r="A149" t="s">
        <v>182</v>
      </c>
      <c r="B149">
        <v>24</v>
      </c>
      <c r="C149" t="s">
        <v>15</v>
      </c>
      <c r="D149" t="s">
        <v>48</v>
      </c>
      <c r="E149">
        <v>3</v>
      </c>
      <c r="F149">
        <v>6.33</v>
      </c>
      <c r="G149">
        <v>7</v>
      </c>
      <c r="H149">
        <v>96.3</v>
      </c>
      <c r="I149" t="s">
        <v>30</v>
      </c>
      <c r="J149" t="s">
        <v>23</v>
      </c>
      <c r="K149">
        <v>2.1</v>
      </c>
      <c r="L149">
        <v>6</v>
      </c>
      <c r="M149">
        <v>9.9</v>
      </c>
      <c r="N149" t="s">
        <v>19</v>
      </c>
    </row>
    <row r="150" spans="1:14" x14ac:dyDescent="0.3">
      <c r="A150" t="s">
        <v>183</v>
      </c>
      <c r="B150">
        <v>18</v>
      </c>
      <c r="C150" t="s">
        <v>21</v>
      </c>
      <c r="D150" t="s">
        <v>26</v>
      </c>
      <c r="E150">
        <v>2</v>
      </c>
      <c r="F150">
        <v>9.31</v>
      </c>
      <c r="G150">
        <v>3</v>
      </c>
      <c r="H150">
        <v>62.5</v>
      </c>
      <c r="I150" t="s">
        <v>27</v>
      </c>
      <c r="J150" t="s">
        <v>54</v>
      </c>
      <c r="K150">
        <v>4.4000000000000004</v>
      </c>
      <c r="L150">
        <v>6</v>
      </c>
      <c r="M150">
        <v>7.5</v>
      </c>
      <c r="N150" t="s">
        <v>19</v>
      </c>
    </row>
    <row r="151" spans="1:14" x14ac:dyDescent="0.3">
      <c r="A151" t="s">
        <v>184</v>
      </c>
      <c r="B151">
        <v>24</v>
      </c>
      <c r="C151" t="s">
        <v>15</v>
      </c>
      <c r="D151" t="s">
        <v>48</v>
      </c>
      <c r="E151">
        <v>3</v>
      </c>
      <c r="F151">
        <v>4.08</v>
      </c>
      <c r="G151">
        <v>9</v>
      </c>
      <c r="H151">
        <v>62.8</v>
      </c>
      <c r="I151" t="s">
        <v>30</v>
      </c>
      <c r="J151" t="s">
        <v>18</v>
      </c>
      <c r="K151">
        <v>0.2</v>
      </c>
      <c r="L151">
        <v>1</v>
      </c>
      <c r="M151">
        <v>9.6999999999999993</v>
      </c>
      <c r="N151" t="s">
        <v>24</v>
      </c>
    </row>
    <row r="152" spans="1:14" x14ac:dyDescent="0.3">
      <c r="A152" t="s">
        <v>185</v>
      </c>
      <c r="B152">
        <v>22</v>
      </c>
      <c r="C152" t="s">
        <v>15</v>
      </c>
      <c r="D152" t="s">
        <v>48</v>
      </c>
      <c r="E152">
        <v>2</v>
      </c>
      <c r="F152">
        <v>8.2200000000000006</v>
      </c>
      <c r="G152">
        <v>6</v>
      </c>
      <c r="H152">
        <v>70.3</v>
      </c>
      <c r="I152" t="s">
        <v>30</v>
      </c>
      <c r="J152" t="s">
        <v>35</v>
      </c>
      <c r="K152">
        <v>7.6</v>
      </c>
      <c r="L152">
        <v>4</v>
      </c>
      <c r="M152">
        <v>6.3</v>
      </c>
      <c r="N152" t="s">
        <v>24</v>
      </c>
    </row>
    <row r="153" spans="1:14" x14ac:dyDescent="0.3">
      <c r="A153" t="s">
        <v>186</v>
      </c>
      <c r="B153">
        <v>25</v>
      </c>
      <c r="C153" t="s">
        <v>15</v>
      </c>
      <c r="D153" t="s">
        <v>39</v>
      </c>
      <c r="E153">
        <v>2</v>
      </c>
      <c r="F153">
        <v>4.84</v>
      </c>
      <c r="G153">
        <v>5</v>
      </c>
      <c r="H153">
        <v>70.400000000000006</v>
      </c>
      <c r="I153" t="s">
        <v>27</v>
      </c>
      <c r="J153" t="s">
        <v>33</v>
      </c>
      <c r="K153">
        <v>0.7</v>
      </c>
      <c r="L153">
        <v>4</v>
      </c>
      <c r="M153">
        <v>10</v>
      </c>
      <c r="N153" t="s">
        <v>24</v>
      </c>
    </row>
    <row r="154" spans="1:14" x14ac:dyDescent="0.3">
      <c r="A154" t="s">
        <v>187</v>
      </c>
      <c r="B154">
        <v>18</v>
      </c>
      <c r="C154" t="s">
        <v>21</v>
      </c>
      <c r="D154" t="s">
        <v>26</v>
      </c>
      <c r="E154">
        <v>2</v>
      </c>
      <c r="F154">
        <v>9.6</v>
      </c>
      <c r="G154">
        <v>4</v>
      </c>
      <c r="H154">
        <v>64.599999999999994</v>
      </c>
      <c r="I154" t="s">
        <v>27</v>
      </c>
      <c r="J154" t="s">
        <v>35</v>
      </c>
      <c r="K154">
        <v>4.0999999999999996</v>
      </c>
      <c r="L154">
        <v>1</v>
      </c>
      <c r="M154">
        <v>4.2</v>
      </c>
      <c r="N154" t="s">
        <v>24</v>
      </c>
    </row>
    <row r="155" spans="1:14" x14ac:dyDescent="0.3">
      <c r="A155" t="s">
        <v>188</v>
      </c>
      <c r="B155">
        <v>20</v>
      </c>
      <c r="C155" t="s">
        <v>21</v>
      </c>
      <c r="D155" t="s">
        <v>37</v>
      </c>
      <c r="E155">
        <v>1</v>
      </c>
      <c r="F155">
        <v>4.0999999999999996</v>
      </c>
      <c r="G155">
        <v>8</v>
      </c>
      <c r="H155">
        <v>87.1</v>
      </c>
      <c r="I155" t="s">
        <v>27</v>
      </c>
      <c r="J155" t="s">
        <v>35</v>
      </c>
      <c r="K155">
        <v>6.8</v>
      </c>
      <c r="L155">
        <v>1</v>
      </c>
      <c r="M155">
        <v>4.0999999999999996</v>
      </c>
      <c r="N155" t="s">
        <v>19</v>
      </c>
    </row>
    <row r="156" spans="1:14" x14ac:dyDescent="0.3">
      <c r="A156" t="s">
        <v>189</v>
      </c>
      <c r="B156">
        <v>19</v>
      </c>
      <c r="C156" t="s">
        <v>21</v>
      </c>
      <c r="D156" t="s">
        <v>37</v>
      </c>
      <c r="E156">
        <v>1</v>
      </c>
      <c r="F156">
        <v>5.21</v>
      </c>
      <c r="G156">
        <v>4</v>
      </c>
      <c r="H156">
        <v>77.3</v>
      </c>
      <c r="I156" t="s">
        <v>17</v>
      </c>
      <c r="J156" t="s">
        <v>54</v>
      </c>
      <c r="K156">
        <v>6</v>
      </c>
      <c r="L156">
        <v>8</v>
      </c>
      <c r="M156">
        <v>7.3</v>
      </c>
      <c r="N156" t="s">
        <v>24</v>
      </c>
    </row>
    <row r="157" spans="1:14" x14ac:dyDescent="0.3">
      <c r="A157" t="s">
        <v>190</v>
      </c>
      <c r="B157">
        <v>25</v>
      </c>
      <c r="C157" t="s">
        <v>21</v>
      </c>
      <c r="D157" t="s">
        <v>22</v>
      </c>
      <c r="E157">
        <v>2</v>
      </c>
      <c r="F157">
        <v>5.43</v>
      </c>
      <c r="G157">
        <v>7</v>
      </c>
      <c r="H157">
        <v>87.6</v>
      </c>
      <c r="I157" t="s">
        <v>27</v>
      </c>
      <c r="J157" t="s">
        <v>35</v>
      </c>
      <c r="K157">
        <v>0.2</v>
      </c>
      <c r="L157">
        <v>4</v>
      </c>
      <c r="M157">
        <v>7.4</v>
      </c>
      <c r="N157" t="s">
        <v>24</v>
      </c>
    </row>
    <row r="158" spans="1:14" x14ac:dyDescent="0.3">
      <c r="A158" t="s">
        <v>191</v>
      </c>
      <c r="B158">
        <v>23</v>
      </c>
      <c r="C158" t="s">
        <v>15</v>
      </c>
      <c r="D158" t="s">
        <v>37</v>
      </c>
      <c r="E158">
        <v>1</v>
      </c>
      <c r="F158">
        <v>5.19</v>
      </c>
      <c r="G158">
        <v>4</v>
      </c>
      <c r="H158">
        <v>92.6</v>
      </c>
      <c r="I158" t="s">
        <v>27</v>
      </c>
      <c r="J158" t="s">
        <v>54</v>
      </c>
      <c r="K158">
        <v>3.1</v>
      </c>
      <c r="L158">
        <v>9</v>
      </c>
      <c r="M158">
        <v>7.7</v>
      </c>
      <c r="N158" t="s">
        <v>24</v>
      </c>
    </row>
    <row r="159" spans="1:14" x14ac:dyDescent="0.3">
      <c r="A159" t="s">
        <v>192</v>
      </c>
      <c r="B159">
        <v>24</v>
      </c>
      <c r="C159" t="s">
        <v>15</v>
      </c>
      <c r="D159" t="s">
        <v>48</v>
      </c>
      <c r="E159">
        <v>2</v>
      </c>
      <c r="F159">
        <v>8.02</v>
      </c>
      <c r="G159">
        <v>6</v>
      </c>
      <c r="H159">
        <v>87</v>
      </c>
      <c r="I159" t="s">
        <v>30</v>
      </c>
      <c r="J159" t="s">
        <v>54</v>
      </c>
      <c r="K159">
        <v>5.8</v>
      </c>
      <c r="L159">
        <v>7</v>
      </c>
      <c r="M159">
        <v>8.5</v>
      </c>
      <c r="N159" t="s">
        <v>24</v>
      </c>
    </row>
    <row r="160" spans="1:14" x14ac:dyDescent="0.3">
      <c r="A160" t="s">
        <v>193</v>
      </c>
      <c r="B160">
        <v>26</v>
      </c>
      <c r="C160" t="s">
        <v>15</v>
      </c>
      <c r="D160" t="s">
        <v>16</v>
      </c>
      <c r="E160">
        <v>2</v>
      </c>
      <c r="F160">
        <v>8.9499999999999993</v>
      </c>
      <c r="G160">
        <v>4</v>
      </c>
      <c r="H160">
        <v>86.2</v>
      </c>
      <c r="I160" t="s">
        <v>17</v>
      </c>
      <c r="J160" t="s">
        <v>33</v>
      </c>
      <c r="K160">
        <v>8.6</v>
      </c>
      <c r="L160">
        <v>1</v>
      </c>
      <c r="M160">
        <v>4.0999999999999996</v>
      </c>
      <c r="N160" t="s">
        <v>24</v>
      </c>
    </row>
    <row r="161" spans="1:14" x14ac:dyDescent="0.3">
      <c r="A161" t="s">
        <v>194</v>
      </c>
      <c r="B161">
        <v>21</v>
      </c>
      <c r="C161" t="s">
        <v>21</v>
      </c>
      <c r="D161" t="s">
        <v>43</v>
      </c>
      <c r="E161">
        <v>2</v>
      </c>
      <c r="F161">
        <v>5.88</v>
      </c>
      <c r="G161">
        <v>4</v>
      </c>
      <c r="H161">
        <v>84.3</v>
      </c>
      <c r="I161" t="s">
        <v>27</v>
      </c>
      <c r="J161" t="s">
        <v>54</v>
      </c>
      <c r="K161">
        <v>8.1</v>
      </c>
      <c r="L161">
        <v>2</v>
      </c>
      <c r="M161">
        <v>5</v>
      </c>
      <c r="N161" t="s">
        <v>19</v>
      </c>
    </row>
    <row r="162" spans="1:14" x14ac:dyDescent="0.3">
      <c r="A162" t="s">
        <v>195</v>
      </c>
      <c r="B162">
        <v>24</v>
      </c>
      <c r="C162" t="s">
        <v>15</v>
      </c>
      <c r="D162" t="s">
        <v>32</v>
      </c>
      <c r="E162">
        <v>3</v>
      </c>
      <c r="F162">
        <v>4.58</v>
      </c>
      <c r="G162">
        <v>5</v>
      </c>
      <c r="H162">
        <v>95.3</v>
      </c>
      <c r="I162" t="s">
        <v>27</v>
      </c>
      <c r="J162" t="s">
        <v>23</v>
      </c>
      <c r="K162">
        <v>8.6999999999999993</v>
      </c>
      <c r="L162">
        <v>2</v>
      </c>
      <c r="M162">
        <v>3.8</v>
      </c>
      <c r="N162" t="s">
        <v>19</v>
      </c>
    </row>
    <row r="163" spans="1:14" x14ac:dyDescent="0.3">
      <c r="A163" t="s">
        <v>196</v>
      </c>
      <c r="B163">
        <v>20</v>
      </c>
      <c r="C163" t="s">
        <v>21</v>
      </c>
      <c r="D163" t="s">
        <v>16</v>
      </c>
      <c r="E163">
        <v>2</v>
      </c>
      <c r="F163">
        <v>9.33</v>
      </c>
      <c r="G163">
        <v>8</v>
      </c>
      <c r="H163">
        <v>64.900000000000006</v>
      </c>
      <c r="I163" t="s">
        <v>30</v>
      </c>
      <c r="J163" t="s">
        <v>23</v>
      </c>
      <c r="K163">
        <v>2.1</v>
      </c>
      <c r="L163">
        <v>3</v>
      </c>
      <c r="M163">
        <v>3.9</v>
      </c>
      <c r="N163" t="s">
        <v>24</v>
      </c>
    </row>
    <row r="164" spans="1:14" x14ac:dyDescent="0.3">
      <c r="A164" t="s">
        <v>197</v>
      </c>
      <c r="B164">
        <v>25</v>
      </c>
      <c r="C164" t="s">
        <v>15</v>
      </c>
      <c r="D164" t="s">
        <v>32</v>
      </c>
      <c r="E164">
        <v>3</v>
      </c>
      <c r="F164">
        <v>4.8099999999999996</v>
      </c>
      <c r="G164">
        <v>8</v>
      </c>
      <c r="H164">
        <v>79.099999999999994</v>
      </c>
      <c r="I164" t="s">
        <v>30</v>
      </c>
      <c r="J164" t="s">
        <v>54</v>
      </c>
      <c r="K164">
        <v>3.6</v>
      </c>
      <c r="L164">
        <v>3</v>
      </c>
      <c r="M164">
        <v>5</v>
      </c>
      <c r="N164" t="s">
        <v>24</v>
      </c>
    </row>
    <row r="165" spans="1:14" x14ac:dyDescent="0.3">
      <c r="A165" t="s">
        <v>198</v>
      </c>
      <c r="B165">
        <v>21</v>
      </c>
      <c r="C165" t="s">
        <v>15</v>
      </c>
      <c r="D165" t="s">
        <v>29</v>
      </c>
      <c r="E165">
        <v>1</v>
      </c>
      <c r="F165">
        <v>4.72</v>
      </c>
      <c r="G165">
        <v>6</v>
      </c>
      <c r="H165">
        <v>65.599999999999994</v>
      </c>
      <c r="I165" t="s">
        <v>17</v>
      </c>
      <c r="J165" t="s">
        <v>33</v>
      </c>
      <c r="K165">
        <v>0.7</v>
      </c>
      <c r="L165">
        <v>10</v>
      </c>
      <c r="M165">
        <v>7</v>
      </c>
      <c r="N165" t="s">
        <v>24</v>
      </c>
    </row>
    <row r="166" spans="1:14" x14ac:dyDescent="0.3">
      <c r="A166" t="s">
        <v>199</v>
      </c>
      <c r="B166">
        <v>21</v>
      </c>
      <c r="C166" t="s">
        <v>15</v>
      </c>
      <c r="D166" t="s">
        <v>48</v>
      </c>
      <c r="E166">
        <v>3</v>
      </c>
      <c r="F166">
        <v>5.1100000000000003</v>
      </c>
      <c r="G166">
        <v>4</v>
      </c>
      <c r="H166">
        <v>55.4</v>
      </c>
      <c r="I166" t="s">
        <v>17</v>
      </c>
      <c r="J166" t="s">
        <v>18</v>
      </c>
      <c r="K166">
        <v>5.7</v>
      </c>
      <c r="L166">
        <v>6</v>
      </c>
      <c r="M166">
        <v>4.7</v>
      </c>
      <c r="N166" t="s">
        <v>19</v>
      </c>
    </row>
    <row r="167" spans="1:14" x14ac:dyDescent="0.3">
      <c r="A167" t="s">
        <v>200</v>
      </c>
      <c r="B167">
        <v>18</v>
      </c>
      <c r="C167" t="s">
        <v>15</v>
      </c>
      <c r="D167" t="s">
        <v>16</v>
      </c>
      <c r="E167">
        <v>1</v>
      </c>
      <c r="F167">
        <v>7.78</v>
      </c>
      <c r="G167">
        <v>9</v>
      </c>
      <c r="H167">
        <v>76.3</v>
      </c>
      <c r="I167" t="s">
        <v>17</v>
      </c>
      <c r="J167" t="s">
        <v>54</v>
      </c>
      <c r="K167">
        <v>5</v>
      </c>
      <c r="L167">
        <v>3</v>
      </c>
      <c r="M167">
        <v>6.6</v>
      </c>
      <c r="N167" t="s">
        <v>24</v>
      </c>
    </row>
    <row r="168" spans="1:14" x14ac:dyDescent="0.3">
      <c r="A168" t="s">
        <v>201</v>
      </c>
      <c r="B168">
        <v>22</v>
      </c>
      <c r="C168" t="s">
        <v>21</v>
      </c>
      <c r="D168" t="s">
        <v>29</v>
      </c>
      <c r="E168">
        <v>1</v>
      </c>
      <c r="F168">
        <v>5.32</v>
      </c>
      <c r="G168">
        <v>10</v>
      </c>
      <c r="H168">
        <v>72.400000000000006</v>
      </c>
      <c r="I168" t="s">
        <v>30</v>
      </c>
      <c r="J168" t="s">
        <v>23</v>
      </c>
      <c r="K168">
        <v>4.0999999999999996</v>
      </c>
      <c r="L168">
        <v>9</v>
      </c>
      <c r="M168">
        <v>9.8000000000000007</v>
      </c>
      <c r="N168" t="s">
        <v>19</v>
      </c>
    </row>
    <row r="169" spans="1:14" x14ac:dyDescent="0.3">
      <c r="A169" t="s">
        <v>202</v>
      </c>
      <c r="B169">
        <v>21</v>
      </c>
      <c r="C169" t="s">
        <v>21</v>
      </c>
      <c r="D169" t="s">
        <v>48</v>
      </c>
      <c r="E169">
        <v>1</v>
      </c>
      <c r="F169">
        <v>8.7799999999999994</v>
      </c>
      <c r="G169">
        <v>3</v>
      </c>
      <c r="H169">
        <v>57.2</v>
      </c>
      <c r="I169" t="s">
        <v>27</v>
      </c>
      <c r="J169" t="s">
        <v>54</v>
      </c>
      <c r="K169">
        <v>5.9</v>
      </c>
      <c r="L169">
        <v>10</v>
      </c>
      <c r="M169">
        <v>8.4</v>
      </c>
      <c r="N169" t="s">
        <v>24</v>
      </c>
    </row>
    <row r="170" spans="1:14" x14ac:dyDescent="0.3">
      <c r="A170" t="s">
        <v>203</v>
      </c>
      <c r="B170">
        <v>21</v>
      </c>
      <c r="C170" t="s">
        <v>15</v>
      </c>
      <c r="D170" t="s">
        <v>16</v>
      </c>
      <c r="E170">
        <v>1</v>
      </c>
      <c r="F170">
        <v>9.17</v>
      </c>
      <c r="G170">
        <v>9</v>
      </c>
      <c r="H170">
        <v>94</v>
      </c>
      <c r="I170" t="s">
        <v>27</v>
      </c>
      <c r="J170" t="s">
        <v>23</v>
      </c>
      <c r="K170">
        <v>1.2</v>
      </c>
      <c r="L170">
        <v>9</v>
      </c>
      <c r="M170">
        <v>5.8</v>
      </c>
      <c r="N170" t="s">
        <v>19</v>
      </c>
    </row>
    <row r="171" spans="1:14" x14ac:dyDescent="0.3">
      <c r="A171" t="s">
        <v>204</v>
      </c>
      <c r="B171">
        <v>22</v>
      </c>
      <c r="C171" t="s">
        <v>15</v>
      </c>
      <c r="D171" t="s">
        <v>29</v>
      </c>
      <c r="E171">
        <v>1</v>
      </c>
      <c r="F171">
        <v>7.28</v>
      </c>
      <c r="G171">
        <v>2</v>
      </c>
      <c r="H171">
        <v>61.9</v>
      </c>
      <c r="I171" t="s">
        <v>30</v>
      </c>
      <c r="J171" t="s">
        <v>18</v>
      </c>
      <c r="K171">
        <v>2.5</v>
      </c>
      <c r="L171">
        <v>4</v>
      </c>
      <c r="M171">
        <v>5.8</v>
      </c>
      <c r="N171" t="s">
        <v>24</v>
      </c>
    </row>
    <row r="172" spans="1:14" x14ac:dyDescent="0.3">
      <c r="A172" t="s">
        <v>205</v>
      </c>
      <c r="B172">
        <v>22</v>
      </c>
      <c r="C172" t="s">
        <v>21</v>
      </c>
      <c r="D172" t="s">
        <v>32</v>
      </c>
      <c r="E172">
        <v>2</v>
      </c>
      <c r="F172">
        <v>4.91</v>
      </c>
      <c r="G172">
        <v>6</v>
      </c>
      <c r="H172">
        <v>50.3</v>
      </c>
      <c r="I172" t="s">
        <v>30</v>
      </c>
      <c r="J172" t="s">
        <v>54</v>
      </c>
      <c r="K172">
        <v>6.7</v>
      </c>
      <c r="L172">
        <v>6</v>
      </c>
      <c r="M172">
        <v>8.1</v>
      </c>
      <c r="N172" t="s">
        <v>19</v>
      </c>
    </row>
    <row r="173" spans="1:14" x14ac:dyDescent="0.3">
      <c r="A173" t="s">
        <v>206</v>
      </c>
      <c r="B173">
        <v>20</v>
      </c>
      <c r="C173" t="s">
        <v>21</v>
      </c>
      <c r="D173" t="s">
        <v>39</v>
      </c>
      <c r="E173">
        <v>3</v>
      </c>
      <c r="F173">
        <v>4.34</v>
      </c>
      <c r="G173">
        <v>9</v>
      </c>
      <c r="H173">
        <v>84.5</v>
      </c>
      <c r="I173" t="s">
        <v>17</v>
      </c>
      <c r="J173" t="s">
        <v>23</v>
      </c>
      <c r="K173">
        <v>6.3</v>
      </c>
      <c r="L173">
        <v>5</v>
      </c>
      <c r="M173">
        <v>6.5</v>
      </c>
      <c r="N173" t="s">
        <v>19</v>
      </c>
    </row>
    <row r="174" spans="1:14" x14ac:dyDescent="0.3">
      <c r="A174" t="s">
        <v>207</v>
      </c>
      <c r="B174">
        <v>22</v>
      </c>
      <c r="C174" t="s">
        <v>21</v>
      </c>
      <c r="D174" t="s">
        <v>43</v>
      </c>
      <c r="E174">
        <v>2</v>
      </c>
      <c r="F174">
        <v>4.22</v>
      </c>
      <c r="G174">
        <v>6</v>
      </c>
      <c r="H174">
        <v>68.5</v>
      </c>
      <c r="I174" t="s">
        <v>30</v>
      </c>
      <c r="J174" t="s">
        <v>33</v>
      </c>
      <c r="K174">
        <v>0.5</v>
      </c>
      <c r="L174">
        <v>9</v>
      </c>
      <c r="M174">
        <v>6.2</v>
      </c>
      <c r="N174" t="s">
        <v>19</v>
      </c>
    </row>
    <row r="175" spans="1:14" x14ac:dyDescent="0.3">
      <c r="A175" t="s">
        <v>208</v>
      </c>
      <c r="B175">
        <v>22</v>
      </c>
      <c r="C175" t="s">
        <v>15</v>
      </c>
      <c r="D175" t="s">
        <v>48</v>
      </c>
      <c r="E175">
        <v>2</v>
      </c>
      <c r="F175">
        <v>7.69</v>
      </c>
      <c r="G175">
        <v>3</v>
      </c>
      <c r="H175">
        <v>92.2</v>
      </c>
      <c r="I175" t="s">
        <v>30</v>
      </c>
      <c r="J175" t="s">
        <v>18</v>
      </c>
      <c r="K175">
        <v>7.7</v>
      </c>
      <c r="L175">
        <v>10</v>
      </c>
      <c r="M175">
        <v>5.4</v>
      </c>
      <c r="N175" t="s">
        <v>24</v>
      </c>
    </row>
    <row r="176" spans="1:14" x14ac:dyDescent="0.3">
      <c r="A176" t="s">
        <v>209</v>
      </c>
      <c r="B176">
        <v>20</v>
      </c>
      <c r="C176" t="s">
        <v>21</v>
      </c>
      <c r="D176" t="s">
        <v>43</v>
      </c>
      <c r="E176">
        <v>1</v>
      </c>
      <c r="F176">
        <v>4.8899999999999997</v>
      </c>
      <c r="G176">
        <v>10</v>
      </c>
      <c r="H176">
        <v>84.4</v>
      </c>
      <c r="I176" t="s">
        <v>27</v>
      </c>
      <c r="J176" t="s">
        <v>33</v>
      </c>
      <c r="K176">
        <v>6.4</v>
      </c>
      <c r="L176">
        <v>4</v>
      </c>
      <c r="M176">
        <v>8.6</v>
      </c>
      <c r="N176" t="s">
        <v>24</v>
      </c>
    </row>
    <row r="177" spans="1:14" x14ac:dyDescent="0.3">
      <c r="A177" t="s">
        <v>210</v>
      </c>
      <c r="B177">
        <v>25</v>
      </c>
      <c r="C177" t="s">
        <v>21</v>
      </c>
      <c r="D177" t="s">
        <v>39</v>
      </c>
      <c r="E177">
        <v>3</v>
      </c>
      <c r="F177">
        <v>6.66</v>
      </c>
      <c r="G177">
        <v>7</v>
      </c>
      <c r="H177">
        <v>73.900000000000006</v>
      </c>
      <c r="I177" t="s">
        <v>17</v>
      </c>
      <c r="J177" t="s">
        <v>23</v>
      </c>
      <c r="K177">
        <v>5.4</v>
      </c>
      <c r="L177">
        <v>5</v>
      </c>
      <c r="M177">
        <v>10</v>
      </c>
      <c r="N177" t="s">
        <v>19</v>
      </c>
    </row>
    <row r="178" spans="1:14" x14ac:dyDescent="0.3">
      <c r="A178" t="s">
        <v>211</v>
      </c>
      <c r="B178">
        <v>26</v>
      </c>
      <c r="C178" t="s">
        <v>21</v>
      </c>
      <c r="D178" t="s">
        <v>22</v>
      </c>
      <c r="E178">
        <v>2</v>
      </c>
      <c r="F178">
        <v>6.68</v>
      </c>
      <c r="G178">
        <v>10</v>
      </c>
      <c r="H178">
        <v>72.3</v>
      </c>
      <c r="I178" t="s">
        <v>17</v>
      </c>
      <c r="J178" t="s">
        <v>33</v>
      </c>
      <c r="K178">
        <v>5</v>
      </c>
      <c r="L178">
        <v>5</v>
      </c>
      <c r="M178">
        <v>8.5</v>
      </c>
      <c r="N178" t="s">
        <v>24</v>
      </c>
    </row>
    <row r="179" spans="1:14" x14ac:dyDescent="0.3">
      <c r="A179" t="s">
        <v>212</v>
      </c>
      <c r="B179">
        <v>22</v>
      </c>
      <c r="C179" t="s">
        <v>15</v>
      </c>
      <c r="D179" t="s">
        <v>43</v>
      </c>
      <c r="E179">
        <v>3</v>
      </c>
      <c r="F179">
        <v>5.15</v>
      </c>
      <c r="G179">
        <v>8</v>
      </c>
      <c r="H179">
        <v>77.8</v>
      </c>
      <c r="I179" t="s">
        <v>17</v>
      </c>
      <c r="J179" t="s">
        <v>35</v>
      </c>
      <c r="K179">
        <v>6.4</v>
      </c>
      <c r="L179">
        <v>5</v>
      </c>
      <c r="M179">
        <v>6.6</v>
      </c>
      <c r="N179" t="s">
        <v>19</v>
      </c>
    </row>
    <row r="180" spans="1:14" x14ac:dyDescent="0.3">
      <c r="A180" t="s">
        <v>213</v>
      </c>
      <c r="B180">
        <v>24</v>
      </c>
      <c r="C180" t="s">
        <v>15</v>
      </c>
      <c r="D180" t="s">
        <v>37</v>
      </c>
      <c r="E180">
        <v>2</v>
      </c>
      <c r="F180">
        <v>5.0199999999999996</v>
      </c>
      <c r="G180">
        <v>3</v>
      </c>
      <c r="H180">
        <v>66.2</v>
      </c>
      <c r="I180" t="s">
        <v>30</v>
      </c>
      <c r="J180" t="s">
        <v>54</v>
      </c>
      <c r="K180">
        <v>6.7</v>
      </c>
      <c r="L180">
        <v>1</v>
      </c>
      <c r="M180">
        <v>5.9</v>
      </c>
      <c r="N180" t="s">
        <v>24</v>
      </c>
    </row>
    <row r="181" spans="1:14" x14ac:dyDescent="0.3">
      <c r="A181" t="s">
        <v>214</v>
      </c>
      <c r="B181">
        <v>21</v>
      </c>
      <c r="C181" t="s">
        <v>21</v>
      </c>
      <c r="D181" t="s">
        <v>32</v>
      </c>
      <c r="E181">
        <v>4</v>
      </c>
      <c r="F181">
        <v>6.71</v>
      </c>
      <c r="G181">
        <v>7</v>
      </c>
      <c r="H181">
        <v>71</v>
      </c>
      <c r="I181" t="s">
        <v>30</v>
      </c>
      <c r="J181" t="s">
        <v>18</v>
      </c>
      <c r="K181">
        <v>2.5</v>
      </c>
      <c r="L181">
        <v>1</v>
      </c>
      <c r="M181">
        <v>8.8000000000000007</v>
      </c>
      <c r="N181" t="s">
        <v>24</v>
      </c>
    </row>
    <row r="182" spans="1:14" x14ac:dyDescent="0.3">
      <c r="A182" t="s">
        <v>215</v>
      </c>
      <c r="B182">
        <v>18</v>
      </c>
      <c r="C182" t="s">
        <v>21</v>
      </c>
      <c r="D182" t="s">
        <v>16</v>
      </c>
      <c r="E182">
        <v>1</v>
      </c>
      <c r="F182">
        <v>5.17</v>
      </c>
      <c r="G182">
        <v>3</v>
      </c>
      <c r="H182">
        <v>57.3</v>
      </c>
      <c r="I182" t="s">
        <v>17</v>
      </c>
      <c r="J182" t="s">
        <v>35</v>
      </c>
      <c r="K182">
        <v>6.4</v>
      </c>
      <c r="L182">
        <v>6</v>
      </c>
      <c r="M182">
        <v>8.5</v>
      </c>
      <c r="N182" t="s">
        <v>24</v>
      </c>
    </row>
    <row r="183" spans="1:14" x14ac:dyDescent="0.3">
      <c r="A183" t="s">
        <v>216</v>
      </c>
      <c r="B183">
        <v>24</v>
      </c>
      <c r="C183" t="s">
        <v>15</v>
      </c>
      <c r="D183" t="s">
        <v>26</v>
      </c>
      <c r="E183">
        <v>1</v>
      </c>
      <c r="F183">
        <v>4.18</v>
      </c>
      <c r="G183">
        <v>9</v>
      </c>
      <c r="H183">
        <v>67.400000000000006</v>
      </c>
      <c r="I183" t="s">
        <v>17</v>
      </c>
      <c r="J183" t="s">
        <v>23</v>
      </c>
      <c r="K183">
        <v>5.3</v>
      </c>
      <c r="L183">
        <v>2</v>
      </c>
      <c r="M183">
        <v>5.9</v>
      </c>
      <c r="N183" t="s">
        <v>24</v>
      </c>
    </row>
    <row r="184" spans="1:14" x14ac:dyDescent="0.3">
      <c r="A184" t="s">
        <v>217</v>
      </c>
      <c r="B184">
        <v>18</v>
      </c>
      <c r="C184" t="s">
        <v>15</v>
      </c>
      <c r="D184" t="s">
        <v>37</v>
      </c>
      <c r="E184">
        <v>1</v>
      </c>
      <c r="F184">
        <v>5.55</v>
      </c>
      <c r="G184">
        <v>4</v>
      </c>
      <c r="H184">
        <v>54.2</v>
      </c>
      <c r="I184" t="s">
        <v>30</v>
      </c>
      <c r="J184" t="s">
        <v>54</v>
      </c>
      <c r="K184">
        <v>5.9</v>
      </c>
      <c r="L184">
        <v>6</v>
      </c>
      <c r="M184">
        <v>4</v>
      </c>
      <c r="N184" t="s">
        <v>24</v>
      </c>
    </row>
    <row r="185" spans="1:14" x14ac:dyDescent="0.3">
      <c r="A185" t="s">
        <v>218</v>
      </c>
      <c r="B185">
        <v>26</v>
      </c>
      <c r="C185" t="s">
        <v>15</v>
      </c>
      <c r="D185" t="s">
        <v>48</v>
      </c>
      <c r="E185">
        <v>2</v>
      </c>
      <c r="F185">
        <v>8.2100000000000009</v>
      </c>
      <c r="G185">
        <v>5</v>
      </c>
      <c r="H185">
        <v>72.400000000000006</v>
      </c>
      <c r="I185" t="s">
        <v>17</v>
      </c>
      <c r="J185" t="s">
        <v>18</v>
      </c>
      <c r="K185">
        <v>3.9</v>
      </c>
      <c r="L185">
        <v>5</v>
      </c>
      <c r="M185">
        <v>9.5</v>
      </c>
      <c r="N185" t="s">
        <v>24</v>
      </c>
    </row>
    <row r="186" spans="1:14" x14ac:dyDescent="0.3">
      <c r="A186" t="s">
        <v>219</v>
      </c>
      <c r="B186">
        <v>18</v>
      </c>
      <c r="C186" t="s">
        <v>15</v>
      </c>
      <c r="D186" t="s">
        <v>22</v>
      </c>
      <c r="E186">
        <v>1</v>
      </c>
      <c r="F186">
        <v>9.4</v>
      </c>
      <c r="G186">
        <v>8</v>
      </c>
      <c r="H186">
        <v>96.2</v>
      </c>
      <c r="I186" t="s">
        <v>30</v>
      </c>
      <c r="J186" t="s">
        <v>18</v>
      </c>
      <c r="K186">
        <v>5.8</v>
      </c>
      <c r="L186">
        <v>9</v>
      </c>
      <c r="M186">
        <v>5.8</v>
      </c>
      <c r="N186" t="s">
        <v>19</v>
      </c>
    </row>
    <row r="187" spans="1:14" x14ac:dyDescent="0.3">
      <c r="A187" t="s">
        <v>220</v>
      </c>
      <c r="B187">
        <v>25</v>
      </c>
      <c r="C187" t="s">
        <v>21</v>
      </c>
      <c r="D187" t="s">
        <v>26</v>
      </c>
      <c r="E187">
        <v>1</v>
      </c>
      <c r="F187">
        <v>8.9600000000000009</v>
      </c>
      <c r="G187">
        <v>7</v>
      </c>
      <c r="H187">
        <v>56.6</v>
      </c>
      <c r="I187" t="s">
        <v>17</v>
      </c>
      <c r="J187" t="s">
        <v>33</v>
      </c>
      <c r="K187">
        <v>2.8</v>
      </c>
      <c r="L187">
        <v>6</v>
      </c>
      <c r="M187">
        <v>9.4</v>
      </c>
      <c r="N187" t="s">
        <v>19</v>
      </c>
    </row>
    <row r="188" spans="1:14" x14ac:dyDescent="0.3">
      <c r="A188" t="s">
        <v>221</v>
      </c>
      <c r="B188">
        <v>22</v>
      </c>
      <c r="C188" t="s">
        <v>21</v>
      </c>
      <c r="D188" t="s">
        <v>43</v>
      </c>
      <c r="E188">
        <v>2</v>
      </c>
      <c r="F188">
        <v>9.91</v>
      </c>
      <c r="G188">
        <v>10</v>
      </c>
      <c r="H188">
        <v>93.8</v>
      </c>
      <c r="I188" t="s">
        <v>27</v>
      </c>
      <c r="J188" t="s">
        <v>33</v>
      </c>
      <c r="K188">
        <v>2.4</v>
      </c>
      <c r="L188">
        <v>3</v>
      </c>
      <c r="M188">
        <v>8.4</v>
      </c>
      <c r="N188" t="s">
        <v>19</v>
      </c>
    </row>
    <row r="189" spans="1:14" x14ac:dyDescent="0.3">
      <c r="A189" t="s">
        <v>222</v>
      </c>
      <c r="B189">
        <v>24</v>
      </c>
      <c r="C189" t="s">
        <v>15</v>
      </c>
      <c r="D189" t="s">
        <v>37</v>
      </c>
      <c r="E189">
        <v>3</v>
      </c>
      <c r="F189">
        <v>9.42</v>
      </c>
      <c r="G189">
        <v>9</v>
      </c>
      <c r="H189">
        <v>60.4</v>
      </c>
      <c r="I189" t="s">
        <v>17</v>
      </c>
      <c r="J189" t="s">
        <v>23</v>
      </c>
      <c r="K189">
        <v>3.3</v>
      </c>
      <c r="L189">
        <v>7</v>
      </c>
      <c r="M189">
        <v>4.7</v>
      </c>
      <c r="N189" t="s">
        <v>19</v>
      </c>
    </row>
    <row r="190" spans="1:14" x14ac:dyDescent="0.3">
      <c r="A190" t="s">
        <v>223</v>
      </c>
      <c r="B190">
        <v>17</v>
      </c>
      <c r="C190" t="s">
        <v>15</v>
      </c>
      <c r="D190" t="s">
        <v>22</v>
      </c>
      <c r="E190">
        <v>2</v>
      </c>
      <c r="F190">
        <v>9.8699999999999992</v>
      </c>
      <c r="G190">
        <v>9</v>
      </c>
      <c r="H190">
        <v>87.6</v>
      </c>
      <c r="I190" t="s">
        <v>30</v>
      </c>
      <c r="J190" t="s">
        <v>54</v>
      </c>
      <c r="K190">
        <v>7.3</v>
      </c>
      <c r="L190">
        <v>3</v>
      </c>
      <c r="M190">
        <v>4.2</v>
      </c>
      <c r="N190" t="s">
        <v>24</v>
      </c>
    </row>
    <row r="191" spans="1:14" x14ac:dyDescent="0.3">
      <c r="A191" t="s">
        <v>224</v>
      </c>
      <c r="B191">
        <v>22</v>
      </c>
      <c r="C191" t="s">
        <v>21</v>
      </c>
      <c r="D191" t="s">
        <v>32</v>
      </c>
      <c r="E191">
        <v>4</v>
      </c>
      <c r="F191">
        <v>5.26</v>
      </c>
      <c r="G191">
        <v>6</v>
      </c>
      <c r="H191">
        <v>90.4</v>
      </c>
      <c r="I191" t="s">
        <v>17</v>
      </c>
      <c r="J191" t="s">
        <v>35</v>
      </c>
      <c r="K191">
        <v>3.6</v>
      </c>
      <c r="L191">
        <v>5</v>
      </c>
      <c r="M191">
        <v>8.8000000000000007</v>
      </c>
      <c r="N191" t="s">
        <v>24</v>
      </c>
    </row>
    <row r="192" spans="1:14" x14ac:dyDescent="0.3">
      <c r="A192" t="s">
        <v>225</v>
      </c>
      <c r="B192">
        <v>23</v>
      </c>
      <c r="C192" t="s">
        <v>15</v>
      </c>
      <c r="D192" t="s">
        <v>48</v>
      </c>
      <c r="E192">
        <v>3</v>
      </c>
      <c r="F192">
        <v>8.94</v>
      </c>
      <c r="G192">
        <v>7</v>
      </c>
      <c r="H192">
        <v>74.400000000000006</v>
      </c>
      <c r="I192" t="s">
        <v>27</v>
      </c>
      <c r="J192" t="s">
        <v>35</v>
      </c>
      <c r="K192">
        <v>0.9</v>
      </c>
      <c r="L192">
        <v>6</v>
      </c>
      <c r="M192">
        <v>6</v>
      </c>
      <c r="N192" t="s">
        <v>19</v>
      </c>
    </row>
    <row r="193" spans="1:14" x14ac:dyDescent="0.3">
      <c r="A193" t="s">
        <v>226</v>
      </c>
      <c r="B193">
        <v>19</v>
      </c>
      <c r="C193" t="s">
        <v>15</v>
      </c>
      <c r="D193" t="s">
        <v>32</v>
      </c>
      <c r="E193">
        <v>4</v>
      </c>
      <c r="F193">
        <v>9.84</v>
      </c>
      <c r="G193">
        <v>3</v>
      </c>
      <c r="H193">
        <v>94.7</v>
      </c>
      <c r="I193" t="s">
        <v>17</v>
      </c>
      <c r="J193" t="s">
        <v>33</v>
      </c>
      <c r="K193">
        <v>6.4</v>
      </c>
      <c r="L193">
        <v>9</v>
      </c>
      <c r="M193">
        <v>4.5</v>
      </c>
      <c r="N193" t="s">
        <v>19</v>
      </c>
    </row>
    <row r="194" spans="1:14" x14ac:dyDescent="0.3">
      <c r="A194" t="s">
        <v>227</v>
      </c>
      <c r="B194">
        <v>27</v>
      </c>
      <c r="C194" t="s">
        <v>15</v>
      </c>
      <c r="D194" t="s">
        <v>16</v>
      </c>
      <c r="E194">
        <v>3</v>
      </c>
      <c r="F194">
        <v>8.8800000000000008</v>
      </c>
      <c r="G194">
        <v>6</v>
      </c>
      <c r="H194">
        <v>70.3</v>
      </c>
      <c r="I194" t="s">
        <v>27</v>
      </c>
      <c r="J194" t="s">
        <v>54</v>
      </c>
      <c r="K194">
        <v>3.8</v>
      </c>
      <c r="L194">
        <v>1</v>
      </c>
      <c r="M194">
        <v>3.7</v>
      </c>
      <c r="N194" t="s">
        <v>19</v>
      </c>
    </row>
    <row r="195" spans="1:14" x14ac:dyDescent="0.3">
      <c r="A195" t="s">
        <v>228</v>
      </c>
      <c r="B195">
        <v>27</v>
      </c>
      <c r="C195" t="s">
        <v>15</v>
      </c>
      <c r="D195" t="s">
        <v>26</v>
      </c>
      <c r="E195">
        <v>1</v>
      </c>
      <c r="F195">
        <v>5.82</v>
      </c>
      <c r="G195">
        <v>6</v>
      </c>
      <c r="H195">
        <v>56.7</v>
      </c>
      <c r="I195" t="s">
        <v>30</v>
      </c>
      <c r="J195" t="s">
        <v>23</v>
      </c>
      <c r="K195">
        <v>5.3</v>
      </c>
      <c r="L195">
        <v>1</v>
      </c>
      <c r="M195">
        <v>5</v>
      </c>
      <c r="N195" t="s">
        <v>24</v>
      </c>
    </row>
    <row r="196" spans="1:14" x14ac:dyDescent="0.3">
      <c r="A196" t="s">
        <v>229</v>
      </c>
      <c r="B196">
        <v>26</v>
      </c>
      <c r="C196" t="s">
        <v>21</v>
      </c>
      <c r="D196" t="s">
        <v>39</v>
      </c>
      <c r="E196">
        <v>3</v>
      </c>
      <c r="F196">
        <v>6.04</v>
      </c>
      <c r="G196">
        <v>6</v>
      </c>
      <c r="H196">
        <v>88</v>
      </c>
      <c r="I196" t="s">
        <v>27</v>
      </c>
      <c r="J196" t="s">
        <v>35</v>
      </c>
      <c r="K196">
        <v>6.1</v>
      </c>
      <c r="L196">
        <v>3</v>
      </c>
      <c r="M196">
        <v>6.3</v>
      </c>
      <c r="N196" t="s">
        <v>24</v>
      </c>
    </row>
    <row r="197" spans="1:14" x14ac:dyDescent="0.3">
      <c r="A197" t="s">
        <v>230</v>
      </c>
      <c r="B197">
        <v>27</v>
      </c>
      <c r="C197" t="s">
        <v>21</v>
      </c>
      <c r="D197" t="s">
        <v>26</v>
      </c>
      <c r="E197">
        <v>2</v>
      </c>
      <c r="F197">
        <v>4.58</v>
      </c>
      <c r="G197">
        <v>6</v>
      </c>
      <c r="H197">
        <v>94.5</v>
      </c>
      <c r="I197" t="s">
        <v>30</v>
      </c>
      <c r="J197" t="s">
        <v>54</v>
      </c>
      <c r="K197">
        <v>1.5</v>
      </c>
      <c r="L197">
        <v>9</v>
      </c>
      <c r="M197">
        <v>5.2</v>
      </c>
      <c r="N197" t="s">
        <v>24</v>
      </c>
    </row>
    <row r="198" spans="1:14" x14ac:dyDescent="0.3">
      <c r="A198" t="s">
        <v>231</v>
      </c>
      <c r="B198">
        <v>17</v>
      </c>
      <c r="C198" t="s">
        <v>15</v>
      </c>
      <c r="D198" t="s">
        <v>37</v>
      </c>
      <c r="E198">
        <v>2</v>
      </c>
      <c r="F198">
        <v>5.36</v>
      </c>
      <c r="G198">
        <v>10</v>
      </c>
      <c r="H198">
        <v>81.8</v>
      </c>
      <c r="I198" t="s">
        <v>30</v>
      </c>
      <c r="J198" t="s">
        <v>18</v>
      </c>
      <c r="K198">
        <v>8.1</v>
      </c>
      <c r="L198">
        <v>3</v>
      </c>
      <c r="M198">
        <v>4.5</v>
      </c>
      <c r="N198" t="s">
        <v>24</v>
      </c>
    </row>
    <row r="199" spans="1:14" x14ac:dyDescent="0.3">
      <c r="A199" t="s">
        <v>232</v>
      </c>
      <c r="B199">
        <v>24</v>
      </c>
      <c r="C199" t="s">
        <v>21</v>
      </c>
      <c r="D199" t="s">
        <v>22</v>
      </c>
      <c r="E199">
        <v>2</v>
      </c>
      <c r="F199">
        <v>8.86</v>
      </c>
      <c r="G199">
        <v>9</v>
      </c>
      <c r="H199">
        <v>84.5</v>
      </c>
      <c r="I199" t="s">
        <v>30</v>
      </c>
      <c r="J199" t="s">
        <v>33</v>
      </c>
      <c r="K199">
        <v>3.2</v>
      </c>
      <c r="L199">
        <v>2</v>
      </c>
      <c r="M199">
        <v>6.2</v>
      </c>
      <c r="N199" t="s">
        <v>24</v>
      </c>
    </row>
    <row r="200" spans="1:14" x14ac:dyDescent="0.3">
      <c r="A200" t="s">
        <v>233</v>
      </c>
      <c r="B200">
        <v>22</v>
      </c>
      <c r="C200" t="s">
        <v>21</v>
      </c>
      <c r="D200" t="s">
        <v>43</v>
      </c>
      <c r="E200">
        <v>1</v>
      </c>
      <c r="F200">
        <v>6.74</v>
      </c>
      <c r="G200">
        <v>4</v>
      </c>
      <c r="H200">
        <v>76.7</v>
      </c>
      <c r="I200" t="s">
        <v>17</v>
      </c>
      <c r="J200" t="s">
        <v>18</v>
      </c>
      <c r="K200">
        <v>0.3</v>
      </c>
      <c r="L200">
        <v>7</v>
      </c>
      <c r="M200">
        <v>4.5</v>
      </c>
      <c r="N200" t="s">
        <v>19</v>
      </c>
    </row>
    <row r="201" spans="1:14" x14ac:dyDescent="0.3">
      <c r="A201" t="s">
        <v>234</v>
      </c>
      <c r="B201">
        <v>27</v>
      </c>
      <c r="C201" t="s">
        <v>21</v>
      </c>
      <c r="D201" t="s">
        <v>16</v>
      </c>
      <c r="E201">
        <v>2</v>
      </c>
      <c r="F201">
        <v>5.49</v>
      </c>
      <c r="G201">
        <v>9</v>
      </c>
      <c r="H201">
        <v>68.599999999999994</v>
      </c>
      <c r="I201" t="s">
        <v>27</v>
      </c>
      <c r="J201" t="s">
        <v>54</v>
      </c>
      <c r="K201">
        <v>6.7</v>
      </c>
      <c r="L201">
        <v>8</v>
      </c>
      <c r="M201">
        <v>8.1</v>
      </c>
      <c r="N201" t="s">
        <v>24</v>
      </c>
    </row>
    <row r="202" spans="1:14" x14ac:dyDescent="0.3">
      <c r="A202" t="s">
        <v>235</v>
      </c>
      <c r="B202">
        <v>25</v>
      </c>
      <c r="C202" t="s">
        <v>21</v>
      </c>
      <c r="D202" t="s">
        <v>29</v>
      </c>
      <c r="E202">
        <v>2</v>
      </c>
      <c r="F202">
        <v>4.4400000000000004</v>
      </c>
      <c r="G202">
        <v>6</v>
      </c>
      <c r="H202">
        <v>75.3</v>
      </c>
      <c r="I202" t="s">
        <v>27</v>
      </c>
      <c r="J202" t="s">
        <v>18</v>
      </c>
      <c r="K202">
        <v>7</v>
      </c>
      <c r="L202">
        <v>1</v>
      </c>
      <c r="M202">
        <v>5.9</v>
      </c>
      <c r="N202" t="s">
        <v>24</v>
      </c>
    </row>
    <row r="203" spans="1:14" x14ac:dyDescent="0.3">
      <c r="A203" t="s">
        <v>236</v>
      </c>
      <c r="B203">
        <v>19</v>
      </c>
      <c r="C203" t="s">
        <v>21</v>
      </c>
      <c r="D203" t="s">
        <v>32</v>
      </c>
      <c r="E203">
        <v>1</v>
      </c>
      <c r="F203">
        <v>7.9</v>
      </c>
      <c r="G203">
        <v>7</v>
      </c>
      <c r="H203">
        <v>62.6</v>
      </c>
      <c r="I203" t="s">
        <v>30</v>
      </c>
      <c r="J203" t="s">
        <v>54</v>
      </c>
      <c r="K203">
        <v>3.1</v>
      </c>
      <c r="L203">
        <v>4</v>
      </c>
      <c r="M203">
        <v>3.6</v>
      </c>
      <c r="N203" t="s">
        <v>24</v>
      </c>
    </row>
    <row r="204" spans="1:14" x14ac:dyDescent="0.3">
      <c r="A204" t="s">
        <v>237</v>
      </c>
      <c r="B204">
        <v>22</v>
      </c>
      <c r="C204" t="s">
        <v>15</v>
      </c>
      <c r="D204" t="s">
        <v>37</v>
      </c>
      <c r="E204">
        <v>3</v>
      </c>
      <c r="F204">
        <v>8.39</v>
      </c>
      <c r="G204">
        <v>4</v>
      </c>
      <c r="H204">
        <v>71.400000000000006</v>
      </c>
      <c r="I204" t="s">
        <v>30</v>
      </c>
      <c r="J204" t="s">
        <v>23</v>
      </c>
      <c r="K204">
        <v>8.6999999999999993</v>
      </c>
      <c r="L204">
        <v>7</v>
      </c>
      <c r="M204">
        <v>6</v>
      </c>
      <c r="N204" t="s">
        <v>24</v>
      </c>
    </row>
    <row r="205" spans="1:14" x14ac:dyDescent="0.3">
      <c r="A205" t="s">
        <v>238</v>
      </c>
      <c r="B205">
        <v>22</v>
      </c>
      <c r="C205" t="s">
        <v>21</v>
      </c>
      <c r="D205" t="s">
        <v>32</v>
      </c>
      <c r="E205">
        <v>4</v>
      </c>
      <c r="F205">
        <v>7.57</v>
      </c>
      <c r="G205">
        <v>3</v>
      </c>
      <c r="H205">
        <v>77.8</v>
      </c>
      <c r="I205" t="s">
        <v>27</v>
      </c>
      <c r="J205" t="s">
        <v>23</v>
      </c>
      <c r="K205">
        <v>0.7</v>
      </c>
      <c r="L205">
        <v>4</v>
      </c>
      <c r="M205">
        <v>9.4</v>
      </c>
      <c r="N205" t="s">
        <v>19</v>
      </c>
    </row>
    <row r="206" spans="1:14" x14ac:dyDescent="0.3">
      <c r="A206" t="s">
        <v>239</v>
      </c>
      <c r="B206">
        <v>25</v>
      </c>
      <c r="C206" t="s">
        <v>21</v>
      </c>
      <c r="D206" t="s">
        <v>32</v>
      </c>
      <c r="E206">
        <v>3</v>
      </c>
      <c r="F206">
        <v>7.23</v>
      </c>
      <c r="G206">
        <v>5</v>
      </c>
      <c r="H206">
        <v>92.1</v>
      </c>
      <c r="I206" t="s">
        <v>17</v>
      </c>
      <c r="J206" t="s">
        <v>23</v>
      </c>
      <c r="K206">
        <v>8.5</v>
      </c>
      <c r="L206">
        <v>6</v>
      </c>
      <c r="M206">
        <v>9.8000000000000007</v>
      </c>
      <c r="N206" t="s">
        <v>24</v>
      </c>
    </row>
    <row r="207" spans="1:14" x14ac:dyDescent="0.3">
      <c r="A207" t="s">
        <v>240</v>
      </c>
      <c r="B207">
        <v>21</v>
      </c>
      <c r="C207" t="s">
        <v>15</v>
      </c>
      <c r="D207" t="s">
        <v>37</v>
      </c>
      <c r="E207">
        <v>1</v>
      </c>
      <c r="F207">
        <v>5.32</v>
      </c>
      <c r="G207">
        <v>8</v>
      </c>
      <c r="H207">
        <v>57.9</v>
      </c>
      <c r="I207" t="s">
        <v>17</v>
      </c>
      <c r="J207" t="s">
        <v>54</v>
      </c>
      <c r="K207">
        <v>2.7</v>
      </c>
      <c r="L207">
        <v>6</v>
      </c>
      <c r="M207">
        <v>9.3000000000000007</v>
      </c>
      <c r="N207" t="s">
        <v>19</v>
      </c>
    </row>
    <row r="208" spans="1:14" x14ac:dyDescent="0.3">
      <c r="A208" t="s">
        <v>241</v>
      </c>
      <c r="B208">
        <v>24</v>
      </c>
      <c r="C208" t="s">
        <v>21</v>
      </c>
      <c r="D208" t="s">
        <v>39</v>
      </c>
      <c r="E208">
        <v>2</v>
      </c>
      <c r="F208">
        <v>4.62</v>
      </c>
      <c r="G208">
        <v>4</v>
      </c>
      <c r="H208">
        <v>61.9</v>
      </c>
      <c r="I208" t="s">
        <v>17</v>
      </c>
      <c r="J208" t="s">
        <v>23</v>
      </c>
      <c r="K208">
        <v>6.5</v>
      </c>
      <c r="L208">
        <v>7</v>
      </c>
      <c r="M208">
        <v>3.6</v>
      </c>
      <c r="N208" t="s">
        <v>19</v>
      </c>
    </row>
    <row r="209" spans="1:14" x14ac:dyDescent="0.3">
      <c r="A209" t="s">
        <v>242</v>
      </c>
      <c r="B209">
        <v>24</v>
      </c>
      <c r="C209" t="s">
        <v>21</v>
      </c>
      <c r="D209" t="s">
        <v>26</v>
      </c>
      <c r="E209">
        <v>1</v>
      </c>
      <c r="F209">
        <v>9.56</v>
      </c>
      <c r="G209">
        <v>10</v>
      </c>
      <c r="H209">
        <v>96.7</v>
      </c>
      <c r="I209" t="s">
        <v>17</v>
      </c>
      <c r="J209" t="s">
        <v>18</v>
      </c>
      <c r="K209">
        <v>6.6</v>
      </c>
      <c r="L209">
        <v>7</v>
      </c>
      <c r="M209">
        <v>5.0999999999999996</v>
      </c>
      <c r="N209" t="s">
        <v>19</v>
      </c>
    </row>
    <row r="210" spans="1:14" x14ac:dyDescent="0.3">
      <c r="A210" t="s">
        <v>243</v>
      </c>
      <c r="B210">
        <v>17</v>
      </c>
      <c r="C210" t="s">
        <v>21</v>
      </c>
      <c r="D210" t="s">
        <v>22</v>
      </c>
      <c r="E210">
        <v>1</v>
      </c>
      <c r="F210">
        <v>5.46</v>
      </c>
      <c r="G210">
        <v>4</v>
      </c>
      <c r="H210">
        <v>78.8</v>
      </c>
      <c r="I210" t="s">
        <v>30</v>
      </c>
      <c r="J210" t="s">
        <v>23</v>
      </c>
      <c r="K210">
        <v>4.9000000000000004</v>
      </c>
      <c r="L210">
        <v>4</v>
      </c>
      <c r="M210">
        <v>8.1</v>
      </c>
      <c r="N210" t="s">
        <v>24</v>
      </c>
    </row>
    <row r="211" spans="1:14" x14ac:dyDescent="0.3">
      <c r="A211" t="s">
        <v>244</v>
      </c>
      <c r="B211">
        <v>21</v>
      </c>
      <c r="C211" t="s">
        <v>21</v>
      </c>
      <c r="D211" t="s">
        <v>48</v>
      </c>
      <c r="E211">
        <v>2</v>
      </c>
      <c r="F211">
        <v>8.9600000000000009</v>
      </c>
      <c r="G211">
        <v>8</v>
      </c>
      <c r="H211">
        <v>59.4</v>
      </c>
      <c r="I211" t="s">
        <v>27</v>
      </c>
      <c r="J211" t="s">
        <v>35</v>
      </c>
      <c r="K211">
        <v>7.1</v>
      </c>
      <c r="L211">
        <v>1</v>
      </c>
      <c r="M211">
        <v>4.9000000000000004</v>
      </c>
      <c r="N211" t="s">
        <v>19</v>
      </c>
    </row>
    <row r="212" spans="1:14" x14ac:dyDescent="0.3">
      <c r="A212" t="s">
        <v>245</v>
      </c>
      <c r="B212">
        <v>22</v>
      </c>
      <c r="C212" t="s">
        <v>15</v>
      </c>
      <c r="D212" t="s">
        <v>16</v>
      </c>
      <c r="E212">
        <v>2</v>
      </c>
      <c r="F212">
        <v>6.35</v>
      </c>
      <c r="G212">
        <v>3</v>
      </c>
      <c r="H212">
        <v>85</v>
      </c>
      <c r="I212" t="s">
        <v>27</v>
      </c>
      <c r="J212" t="s">
        <v>33</v>
      </c>
      <c r="K212">
        <v>1.2</v>
      </c>
      <c r="L212">
        <v>1</v>
      </c>
      <c r="M212">
        <v>9.5</v>
      </c>
      <c r="N212" t="s">
        <v>24</v>
      </c>
    </row>
    <row r="213" spans="1:14" x14ac:dyDescent="0.3">
      <c r="A213" t="s">
        <v>246</v>
      </c>
      <c r="B213">
        <v>25</v>
      </c>
      <c r="C213" t="s">
        <v>21</v>
      </c>
      <c r="D213" t="s">
        <v>39</v>
      </c>
      <c r="E213">
        <v>2</v>
      </c>
      <c r="F213">
        <v>4.3499999999999996</v>
      </c>
      <c r="G213">
        <v>9</v>
      </c>
      <c r="H213">
        <v>51.4</v>
      </c>
      <c r="I213" t="s">
        <v>27</v>
      </c>
      <c r="J213" t="s">
        <v>54</v>
      </c>
      <c r="K213">
        <v>3.1</v>
      </c>
      <c r="L213">
        <v>4</v>
      </c>
      <c r="M213">
        <v>7.8</v>
      </c>
      <c r="N213" t="s">
        <v>19</v>
      </c>
    </row>
    <row r="214" spans="1:14" x14ac:dyDescent="0.3">
      <c r="A214" t="s">
        <v>247</v>
      </c>
      <c r="B214">
        <v>22</v>
      </c>
      <c r="C214" t="s">
        <v>21</v>
      </c>
      <c r="D214" t="s">
        <v>22</v>
      </c>
      <c r="E214">
        <v>1</v>
      </c>
      <c r="F214">
        <v>8.0299999999999994</v>
      </c>
      <c r="G214">
        <v>9</v>
      </c>
      <c r="H214">
        <v>54.7</v>
      </c>
      <c r="I214" t="s">
        <v>27</v>
      </c>
      <c r="J214" t="s">
        <v>33</v>
      </c>
      <c r="K214">
        <v>0.9</v>
      </c>
      <c r="L214">
        <v>6</v>
      </c>
      <c r="M214">
        <v>4</v>
      </c>
      <c r="N214" t="s">
        <v>19</v>
      </c>
    </row>
    <row r="215" spans="1:14" x14ac:dyDescent="0.3">
      <c r="A215" t="s">
        <v>248</v>
      </c>
      <c r="B215">
        <v>21</v>
      </c>
      <c r="C215" t="s">
        <v>21</v>
      </c>
      <c r="D215" t="s">
        <v>39</v>
      </c>
      <c r="E215">
        <v>1</v>
      </c>
      <c r="F215">
        <v>4.46</v>
      </c>
      <c r="G215">
        <v>9</v>
      </c>
      <c r="H215">
        <v>77.599999999999994</v>
      </c>
      <c r="I215" t="s">
        <v>27</v>
      </c>
      <c r="J215" t="s">
        <v>35</v>
      </c>
      <c r="K215">
        <v>5.6</v>
      </c>
      <c r="L215">
        <v>9</v>
      </c>
      <c r="M215">
        <v>4.0999999999999996</v>
      </c>
      <c r="N215" t="s">
        <v>24</v>
      </c>
    </row>
    <row r="216" spans="1:14" x14ac:dyDescent="0.3">
      <c r="A216" t="s">
        <v>249</v>
      </c>
      <c r="B216">
        <v>21</v>
      </c>
      <c r="C216" t="s">
        <v>15</v>
      </c>
      <c r="D216" t="s">
        <v>26</v>
      </c>
      <c r="E216">
        <v>1</v>
      </c>
      <c r="F216">
        <v>8.42</v>
      </c>
      <c r="G216">
        <v>6</v>
      </c>
      <c r="H216">
        <v>51.4</v>
      </c>
      <c r="I216" t="s">
        <v>27</v>
      </c>
      <c r="J216" t="s">
        <v>23</v>
      </c>
      <c r="K216">
        <v>6.5</v>
      </c>
      <c r="L216">
        <v>1</v>
      </c>
      <c r="M216">
        <v>7.9</v>
      </c>
      <c r="N216" t="s">
        <v>19</v>
      </c>
    </row>
    <row r="217" spans="1:14" x14ac:dyDescent="0.3">
      <c r="A217" t="s">
        <v>250</v>
      </c>
      <c r="B217">
        <v>18</v>
      </c>
      <c r="C217" t="s">
        <v>21</v>
      </c>
      <c r="D217" t="s">
        <v>37</v>
      </c>
      <c r="E217">
        <v>3</v>
      </c>
      <c r="F217">
        <v>9.83</v>
      </c>
      <c r="G217">
        <v>10</v>
      </c>
      <c r="H217">
        <v>70.400000000000006</v>
      </c>
      <c r="I217" t="s">
        <v>30</v>
      </c>
      <c r="J217" t="s">
        <v>35</v>
      </c>
      <c r="K217">
        <v>8.6999999999999993</v>
      </c>
      <c r="L217">
        <v>8</v>
      </c>
      <c r="M217">
        <v>4</v>
      </c>
      <c r="N217" t="s">
        <v>24</v>
      </c>
    </row>
    <row r="218" spans="1:14" x14ac:dyDescent="0.3">
      <c r="A218" t="s">
        <v>251</v>
      </c>
      <c r="B218">
        <v>17</v>
      </c>
      <c r="C218" t="s">
        <v>15</v>
      </c>
      <c r="D218" t="s">
        <v>39</v>
      </c>
      <c r="E218">
        <v>1</v>
      </c>
      <c r="F218">
        <v>9.49</v>
      </c>
      <c r="G218">
        <v>8</v>
      </c>
      <c r="H218">
        <v>57.4</v>
      </c>
      <c r="I218" t="s">
        <v>27</v>
      </c>
      <c r="J218" t="s">
        <v>18</v>
      </c>
      <c r="K218">
        <v>7.4</v>
      </c>
      <c r="L218">
        <v>8</v>
      </c>
      <c r="M218">
        <v>9.6</v>
      </c>
      <c r="N218" t="s">
        <v>24</v>
      </c>
    </row>
    <row r="219" spans="1:14" x14ac:dyDescent="0.3">
      <c r="A219" t="s">
        <v>252</v>
      </c>
      <c r="B219">
        <v>25</v>
      </c>
      <c r="C219" t="s">
        <v>15</v>
      </c>
      <c r="D219" t="s">
        <v>26</v>
      </c>
      <c r="E219">
        <v>1</v>
      </c>
      <c r="F219">
        <v>6.06</v>
      </c>
      <c r="G219">
        <v>7</v>
      </c>
      <c r="H219">
        <v>77.5</v>
      </c>
      <c r="I219" t="s">
        <v>27</v>
      </c>
      <c r="J219" t="s">
        <v>54</v>
      </c>
      <c r="K219">
        <v>6.7</v>
      </c>
      <c r="L219">
        <v>1</v>
      </c>
      <c r="M219">
        <v>6.4</v>
      </c>
      <c r="N219" t="s">
        <v>19</v>
      </c>
    </row>
    <row r="220" spans="1:14" x14ac:dyDescent="0.3">
      <c r="A220" t="s">
        <v>253</v>
      </c>
      <c r="B220">
        <v>20</v>
      </c>
      <c r="C220" t="s">
        <v>21</v>
      </c>
      <c r="D220" t="s">
        <v>22</v>
      </c>
      <c r="E220">
        <v>1</v>
      </c>
      <c r="F220">
        <v>9.9499999999999993</v>
      </c>
      <c r="G220">
        <v>5</v>
      </c>
      <c r="H220">
        <v>79.599999999999994</v>
      </c>
      <c r="I220" t="s">
        <v>17</v>
      </c>
      <c r="J220" t="s">
        <v>54</v>
      </c>
      <c r="K220">
        <v>2.1</v>
      </c>
      <c r="L220">
        <v>9</v>
      </c>
      <c r="M220">
        <v>8.6</v>
      </c>
      <c r="N220" t="s">
        <v>24</v>
      </c>
    </row>
    <row r="221" spans="1:14" x14ac:dyDescent="0.3">
      <c r="A221" t="s">
        <v>254</v>
      </c>
      <c r="B221">
        <v>21</v>
      </c>
      <c r="C221" t="s">
        <v>21</v>
      </c>
      <c r="D221" t="s">
        <v>43</v>
      </c>
      <c r="E221">
        <v>3</v>
      </c>
      <c r="F221">
        <v>4.0199999999999996</v>
      </c>
      <c r="G221">
        <v>2</v>
      </c>
      <c r="H221">
        <v>73.8</v>
      </c>
      <c r="I221" t="s">
        <v>17</v>
      </c>
      <c r="J221" t="s">
        <v>35</v>
      </c>
      <c r="K221">
        <v>1.5</v>
      </c>
      <c r="L221">
        <v>3</v>
      </c>
      <c r="M221">
        <v>5.6</v>
      </c>
      <c r="N221" t="s">
        <v>24</v>
      </c>
    </row>
    <row r="222" spans="1:14" x14ac:dyDescent="0.3">
      <c r="A222" t="s">
        <v>255</v>
      </c>
      <c r="B222">
        <v>18</v>
      </c>
      <c r="C222" t="s">
        <v>15</v>
      </c>
      <c r="D222" t="s">
        <v>39</v>
      </c>
      <c r="E222">
        <v>1</v>
      </c>
      <c r="F222">
        <v>8.3000000000000007</v>
      </c>
      <c r="G222">
        <v>4</v>
      </c>
      <c r="H222">
        <v>82.9</v>
      </c>
      <c r="I222" t="s">
        <v>27</v>
      </c>
      <c r="J222" t="s">
        <v>35</v>
      </c>
      <c r="K222">
        <v>0.3</v>
      </c>
      <c r="L222">
        <v>10</v>
      </c>
      <c r="M222">
        <v>4.5</v>
      </c>
      <c r="N222" t="s">
        <v>24</v>
      </c>
    </row>
    <row r="223" spans="1:14" x14ac:dyDescent="0.3">
      <c r="A223" t="s">
        <v>256</v>
      </c>
      <c r="B223">
        <v>27</v>
      </c>
      <c r="C223" t="s">
        <v>21</v>
      </c>
      <c r="D223" t="s">
        <v>29</v>
      </c>
      <c r="E223">
        <v>1</v>
      </c>
      <c r="F223">
        <v>4.29</v>
      </c>
      <c r="G223">
        <v>8</v>
      </c>
      <c r="H223">
        <v>68.900000000000006</v>
      </c>
      <c r="I223" t="s">
        <v>27</v>
      </c>
      <c r="J223" t="s">
        <v>23</v>
      </c>
      <c r="K223">
        <v>2.2999999999999998</v>
      </c>
      <c r="L223">
        <v>7</v>
      </c>
      <c r="M223">
        <v>5</v>
      </c>
      <c r="N223" t="s">
        <v>19</v>
      </c>
    </row>
    <row r="224" spans="1:14" x14ac:dyDescent="0.3">
      <c r="A224" t="s">
        <v>257</v>
      </c>
      <c r="B224">
        <v>25</v>
      </c>
      <c r="C224" t="s">
        <v>21</v>
      </c>
      <c r="D224" t="s">
        <v>22</v>
      </c>
      <c r="E224">
        <v>2</v>
      </c>
      <c r="F224">
        <v>5.39</v>
      </c>
      <c r="G224">
        <v>9</v>
      </c>
      <c r="H224">
        <v>75.099999999999994</v>
      </c>
      <c r="I224" t="s">
        <v>27</v>
      </c>
      <c r="J224" t="s">
        <v>18</v>
      </c>
      <c r="K224">
        <v>3.2</v>
      </c>
      <c r="L224">
        <v>2</v>
      </c>
      <c r="M224">
        <v>8.1</v>
      </c>
      <c r="N224" t="s">
        <v>24</v>
      </c>
    </row>
    <row r="225" spans="1:14" x14ac:dyDescent="0.3">
      <c r="A225" t="s">
        <v>258</v>
      </c>
      <c r="B225">
        <v>17</v>
      </c>
      <c r="C225" t="s">
        <v>15</v>
      </c>
      <c r="D225" t="s">
        <v>26</v>
      </c>
      <c r="E225">
        <v>2</v>
      </c>
      <c r="F225">
        <v>5.36</v>
      </c>
      <c r="G225">
        <v>9</v>
      </c>
      <c r="H225">
        <v>60.8</v>
      </c>
      <c r="I225" t="s">
        <v>27</v>
      </c>
      <c r="J225" t="s">
        <v>23</v>
      </c>
      <c r="K225">
        <v>4.7</v>
      </c>
      <c r="L225">
        <v>5</v>
      </c>
      <c r="M225">
        <v>9.5</v>
      </c>
      <c r="N225" t="s">
        <v>24</v>
      </c>
    </row>
    <row r="226" spans="1:14" x14ac:dyDescent="0.3">
      <c r="A226" t="s">
        <v>259</v>
      </c>
      <c r="B226">
        <v>27</v>
      </c>
      <c r="C226" t="s">
        <v>15</v>
      </c>
      <c r="D226" t="s">
        <v>43</v>
      </c>
      <c r="E226">
        <v>1</v>
      </c>
      <c r="F226">
        <v>9.7100000000000009</v>
      </c>
      <c r="G226">
        <v>8</v>
      </c>
      <c r="H226">
        <v>75.2</v>
      </c>
      <c r="I226" t="s">
        <v>27</v>
      </c>
      <c r="J226" t="s">
        <v>18</v>
      </c>
      <c r="K226">
        <v>3</v>
      </c>
      <c r="L226">
        <v>2</v>
      </c>
      <c r="M226">
        <v>7.1</v>
      </c>
      <c r="N226" t="s">
        <v>19</v>
      </c>
    </row>
    <row r="227" spans="1:14" x14ac:dyDescent="0.3">
      <c r="A227" t="s">
        <v>260</v>
      </c>
      <c r="B227">
        <v>27</v>
      </c>
      <c r="C227" t="s">
        <v>15</v>
      </c>
      <c r="D227" t="s">
        <v>29</v>
      </c>
      <c r="E227">
        <v>2</v>
      </c>
      <c r="F227">
        <v>4.41</v>
      </c>
      <c r="G227">
        <v>7</v>
      </c>
      <c r="H227">
        <v>86.7</v>
      </c>
      <c r="I227" t="s">
        <v>30</v>
      </c>
      <c r="J227" t="s">
        <v>35</v>
      </c>
      <c r="K227">
        <v>3.3</v>
      </c>
      <c r="L227">
        <v>7</v>
      </c>
      <c r="M227">
        <v>7.7</v>
      </c>
      <c r="N227" t="s">
        <v>19</v>
      </c>
    </row>
    <row r="228" spans="1:14" x14ac:dyDescent="0.3">
      <c r="A228" t="s">
        <v>261</v>
      </c>
      <c r="B228">
        <v>27</v>
      </c>
      <c r="C228" t="s">
        <v>15</v>
      </c>
      <c r="D228" t="s">
        <v>22</v>
      </c>
      <c r="E228">
        <v>2</v>
      </c>
      <c r="F228">
        <v>9.84</v>
      </c>
      <c r="G228">
        <v>8</v>
      </c>
      <c r="H228">
        <v>85.5</v>
      </c>
      <c r="I228" t="s">
        <v>27</v>
      </c>
      <c r="J228" t="s">
        <v>33</v>
      </c>
      <c r="K228">
        <v>3.1</v>
      </c>
      <c r="L228">
        <v>9</v>
      </c>
      <c r="M228">
        <v>5.8</v>
      </c>
      <c r="N228" t="s">
        <v>19</v>
      </c>
    </row>
    <row r="229" spans="1:14" x14ac:dyDescent="0.3">
      <c r="A229" t="s">
        <v>262</v>
      </c>
      <c r="B229">
        <v>17</v>
      </c>
      <c r="C229" t="s">
        <v>21</v>
      </c>
      <c r="D229" t="s">
        <v>22</v>
      </c>
      <c r="E229">
        <v>2</v>
      </c>
      <c r="F229">
        <v>4.21</v>
      </c>
      <c r="G229">
        <v>2</v>
      </c>
      <c r="H229">
        <v>51.5</v>
      </c>
      <c r="I229" t="s">
        <v>30</v>
      </c>
      <c r="J229" t="s">
        <v>35</v>
      </c>
      <c r="K229">
        <v>5.2</v>
      </c>
      <c r="L229">
        <v>1</v>
      </c>
      <c r="M229">
        <v>5.4</v>
      </c>
      <c r="N229" t="s">
        <v>24</v>
      </c>
    </row>
    <row r="230" spans="1:14" x14ac:dyDescent="0.3">
      <c r="A230" t="s">
        <v>263</v>
      </c>
      <c r="B230">
        <v>19</v>
      </c>
      <c r="C230" t="s">
        <v>15</v>
      </c>
      <c r="D230" t="s">
        <v>29</v>
      </c>
      <c r="E230">
        <v>1</v>
      </c>
      <c r="F230">
        <v>9.9600000000000009</v>
      </c>
      <c r="G230">
        <v>10</v>
      </c>
      <c r="H230">
        <v>66.400000000000006</v>
      </c>
      <c r="I230" t="s">
        <v>27</v>
      </c>
      <c r="J230" t="s">
        <v>18</v>
      </c>
      <c r="K230">
        <v>4.9000000000000004</v>
      </c>
      <c r="L230">
        <v>4</v>
      </c>
      <c r="M230">
        <v>9.1</v>
      </c>
      <c r="N230" t="s">
        <v>19</v>
      </c>
    </row>
    <row r="231" spans="1:14" x14ac:dyDescent="0.3">
      <c r="A231" t="s">
        <v>264</v>
      </c>
      <c r="B231">
        <v>24</v>
      </c>
      <c r="C231" t="s">
        <v>21</v>
      </c>
      <c r="D231" t="s">
        <v>29</v>
      </c>
      <c r="E231">
        <v>1</v>
      </c>
      <c r="F231">
        <v>4.4000000000000004</v>
      </c>
      <c r="G231">
        <v>9</v>
      </c>
      <c r="H231">
        <v>74.7</v>
      </c>
      <c r="I231" t="s">
        <v>30</v>
      </c>
      <c r="J231" t="s">
        <v>23</v>
      </c>
      <c r="K231">
        <v>6.3</v>
      </c>
      <c r="L231">
        <v>10</v>
      </c>
      <c r="M231">
        <v>9.1999999999999993</v>
      </c>
      <c r="N231" t="s">
        <v>24</v>
      </c>
    </row>
    <row r="232" spans="1:14" x14ac:dyDescent="0.3">
      <c r="A232" t="s">
        <v>265</v>
      </c>
      <c r="B232">
        <v>24</v>
      </c>
      <c r="C232" t="s">
        <v>15</v>
      </c>
      <c r="D232" t="s">
        <v>37</v>
      </c>
      <c r="E232">
        <v>3</v>
      </c>
      <c r="F232">
        <v>9.3800000000000008</v>
      </c>
      <c r="G232">
        <v>9</v>
      </c>
      <c r="H232">
        <v>67.099999999999994</v>
      </c>
      <c r="I232" t="s">
        <v>27</v>
      </c>
      <c r="J232" t="s">
        <v>18</v>
      </c>
      <c r="K232">
        <v>3.9</v>
      </c>
      <c r="L232">
        <v>3</v>
      </c>
      <c r="M232">
        <v>6.7</v>
      </c>
      <c r="N232" t="s">
        <v>19</v>
      </c>
    </row>
    <row r="233" spans="1:14" x14ac:dyDescent="0.3">
      <c r="A233" t="s">
        <v>266</v>
      </c>
      <c r="B233">
        <v>19</v>
      </c>
      <c r="C233" t="s">
        <v>21</v>
      </c>
      <c r="D233" t="s">
        <v>26</v>
      </c>
      <c r="E233">
        <v>1</v>
      </c>
      <c r="F233">
        <v>4.3600000000000003</v>
      </c>
      <c r="G233">
        <v>8</v>
      </c>
      <c r="H233">
        <v>84.9</v>
      </c>
      <c r="I233" t="s">
        <v>17</v>
      </c>
      <c r="J233" t="s">
        <v>35</v>
      </c>
      <c r="K233">
        <v>4.8</v>
      </c>
      <c r="L233">
        <v>7</v>
      </c>
      <c r="M233">
        <v>4.3</v>
      </c>
      <c r="N233" t="s">
        <v>24</v>
      </c>
    </row>
    <row r="234" spans="1:14" x14ac:dyDescent="0.3">
      <c r="A234" t="s">
        <v>267</v>
      </c>
      <c r="B234">
        <v>22</v>
      </c>
      <c r="C234" t="s">
        <v>15</v>
      </c>
      <c r="D234" t="s">
        <v>16</v>
      </c>
      <c r="E234">
        <v>3</v>
      </c>
      <c r="F234">
        <v>5.34</v>
      </c>
      <c r="G234">
        <v>5</v>
      </c>
      <c r="H234">
        <v>57.8</v>
      </c>
      <c r="I234" t="s">
        <v>30</v>
      </c>
      <c r="J234" t="s">
        <v>33</v>
      </c>
      <c r="K234">
        <v>0.3</v>
      </c>
      <c r="L234">
        <v>8</v>
      </c>
      <c r="M234">
        <v>7.3</v>
      </c>
      <c r="N234" t="s">
        <v>19</v>
      </c>
    </row>
    <row r="235" spans="1:14" x14ac:dyDescent="0.3">
      <c r="A235" t="s">
        <v>268</v>
      </c>
      <c r="B235">
        <v>19</v>
      </c>
      <c r="C235" t="s">
        <v>15</v>
      </c>
      <c r="D235" t="s">
        <v>39</v>
      </c>
      <c r="E235">
        <v>1</v>
      </c>
      <c r="F235">
        <v>5.41</v>
      </c>
      <c r="G235">
        <v>6</v>
      </c>
      <c r="H235">
        <v>66</v>
      </c>
      <c r="I235" t="s">
        <v>17</v>
      </c>
      <c r="J235" t="s">
        <v>35</v>
      </c>
      <c r="K235">
        <v>8</v>
      </c>
      <c r="L235">
        <v>6</v>
      </c>
      <c r="M235">
        <v>7.9</v>
      </c>
      <c r="N235" t="s">
        <v>24</v>
      </c>
    </row>
    <row r="236" spans="1:14" x14ac:dyDescent="0.3">
      <c r="A236" t="s">
        <v>269</v>
      </c>
      <c r="B236">
        <v>27</v>
      </c>
      <c r="C236" t="s">
        <v>15</v>
      </c>
      <c r="D236" t="s">
        <v>26</v>
      </c>
      <c r="E236">
        <v>1</v>
      </c>
      <c r="F236">
        <v>9.44</v>
      </c>
      <c r="G236">
        <v>2</v>
      </c>
      <c r="H236">
        <v>91.6</v>
      </c>
      <c r="I236" t="s">
        <v>30</v>
      </c>
      <c r="J236" t="s">
        <v>33</v>
      </c>
      <c r="K236">
        <v>4.3</v>
      </c>
      <c r="L236">
        <v>2</v>
      </c>
      <c r="M236">
        <v>7.1</v>
      </c>
      <c r="N236" t="s">
        <v>19</v>
      </c>
    </row>
    <row r="237" spans="1:14" x14ac:dyDescent="0.3">
      <c r="A237" t="s">
        <v>270</v>
      </c>
      <c r="B237">
        <v>25</v>
      </c>
      <c r="C237" t="s">
        <v>21</v>
      </c>
      <c r="D237" t="s">
        <v>22</v>
      </c>
      <c r="E237">
        <v>2</v>
      </c>
      <c r="F237">
        <v>4.51</v>
      </c>
      <c r="G237">
        <v>8</v>
      </c>
      <c r="H237">
        <v>59.1</v>
      </c>
      <c r="I237" t="s">
        <v>17</v>
      </c>
      <c r="J237" t="s">
        <v>18</v>
      </c>
      <c r="K237">
        <v>3</v>
      </c>
      <c r="L237">
        <v>2</v>
      </c>
      <c r="M237">
        <v>7.5</v>
      </c>
      <c r="N237" t="s">
        <v>24</v>
      </c>
    </row>
    <row r="238" spans="1:14" x14ac:dyDescent="0.3">
      <c r="A238" t="s">
        <v>271</v>
      </c>
      <c r="B238">
        <v>17</v>
      </c>
      <c r="C238" t="s">
        <v>21</v>
      </c>
      <c r="D238" t="s">
        <v>43</v>
      </c>
      <c r="E238">
        <v>1</v>
      </c>
      <c r="F238">
        <v>6.15</v>
      </c>
      <c r="G238">
        <v>6</v>
      </c>
      <c r="H238">
        <v>50.1</v>
      </c>
      <c r="I238" t="s">
        <v>17</v>
      </c>
      <c r="J238" t="s">
        <v>54</v>
      </c>
      <c r="K238">
        <v>3.4</v>
      </c>
      <c r="L238">
        <v>10</v>
      </c>
      <c r="M238">
        <v>5.8</v>
      </c>
      <c r="N238" t="s">
        <v>19</v>
      </c>
    </row>
    <row r="239" spans="1:14" x14ac:dyDescent="0.3">
      <c r="A239" t="s">
        <v>272</v>
      </c>
      <c r="B239">
        <v>17</v>
      </c>
      <c r="C239" t="s">
        <v>15</v>
      </c>
      <c r="D239" t="s">
        <v>16</v>
      </c>
      <c r="E239">
        <v>3</v>
      </c>
      <c r="F239">
        <v>7.19</v>
      </c>
      <c r="G239">
        <v>6</v>
      </c>
      <c r="H239">
        <v>81</v>
      </c>
      <c r="I239" t="s">
        <v>27</v>
      </c>
      <c r="J239" t="s">
        <v>54</v>
      </c>
      <c r="K239">
        <v>3</v>
      </c>
      <c r="L239">
        <v>8</v>
      </c>
      <c r="M239">
        <v>6.7</v>
      </c>
      <c r="N239" t="s">
        <v>24</v>
      </c>
    </row>
    <row r="240" spans="1:14" x14ac:dyDescent="0.3">
      <c r="A240" t="s">
        <v>273</v>
      </c>
      <c r="B240">
        <v>26</v>
      </c>
      <c r="C240" t="s">
        <v>21</v>
      </c>
      <c r="D240" t="s">
        <v>39</v>
      </c>
      <c r="E240">
        <v>1</v>
      </c>
      <c r="F240">
        <v>5.56</v>
      </c>
      <c r="G240">
        <v>6</v>
      </c>
      <c r="H240">
        <v>84.4</v>
      </c>
      <c r="I240" t="s">
        <v>17</v>
      </c>
      <c r="J240" t="s">
        <v>35</v>
      </c>
      <c r="K240">
        <v>0.3</v>
      </c>
      <c r="L240">
        <v>1</v>
      </c>
      <c r="M240">
        <v>9.1</v>
      </c>
      <c r="N240" t="s">
        <v>19</v>
      </c>
    </row>
    <row r="241" spans="1:14" x14ac:dyDescent="0.3">
      <c r="A241" t="s">
        <v>274</v>
      </c>
      <c r="B241">
        <v>26</v>
      </c>
      <c r="C241" t="s">
        <v>15</v>
      </c>
      <c r="D241" t="s">
        <v>39</v>
      </c>
      <c r="E241">
        <v>1</v>
      </c>
      <c r="F241">
        <v>5.49</v>
      </c>
      <c r="G241">
        <v>3</v>
      </c>
      <c r="H241">
        <v>68.3</v>
      </c>
      <c r="I241" t="s">
        <v>17</v>
      </c>
      <c r="J241" t="s">
        <v>23</v>
      </c>
      <c r="K241">
        <v>3</v>
      </c>
      <c r="L241">
        <v>2</v>
      </c>
      <c r="M241">
        <v>6.5</v>
      </c>
      <c r="N241" t="s">
        <v>24</v>
      </c>
    </row>
    <row r="242" spans="1:14" x14ac:dyDescent="0.3">
      <c r="A242" t="s">
        <v>275</v>
      </c>
      <c r="B242">
        <v>23</v>
      </c>
      <c r="C242" t="s">
        <v>21</v>
      </c>
      <c r="D242" t="s">
        <v>43</v>
      </c>
      <c r="E242">
        <v>2</v>
      </c>
      <c r="F242">
        <v>7.97</v>
      </c>
      <c r="G242">
        <v>4</v>
      </c>
      <c r="H242">
        <v>89.1</v>
      </c>
      <c r="I242" t="s">
        <v>27</v>
      </c>
      <c r="J242" t="s">
        <v>54</v>
      </c>
      <c r="K242">
        <v>1.6</v>
      </c>
      <c r="L242">
        <v>2</v>
      </c>
      <c r="M242">
        <v>6.8</v>
      </c>
      <c r="N242" t="s">
        <v>24</v>
      </c>
    </row>
    <row r="243" spans="1:14" x14ac:dyDescent="0.3">
      <c r="A243" t="s">
        <v>276</v>
      </c>
      <c r="B243">
        <v>18</v>
      </c>
      <c r="C243" t="s">
        <v>15</v>
      </c>
      <c r="D243" t="s">
        <v>26</v>
      </c>
      <c r="E243">
        <v>2</v>
      </c>
      <c r="F243">
        <v>4.3</v>
      </c>
      <c r="G243">
        <v>8</v>
      </c>
      <c r="H243">
        <v>78.8</v>
      </c>
      <c r="I243" t="s">
        <v>30</v>
      </c>
      <c r="J243" t="s">
        <v>23</v>
      </c>
      <c r="K243">
        <v>9</v>
      </c>
      <c r="L243">
        <v>2</v>
      </c>
      <c r="M243">
        <v>8.1</v>
      </c>
      <c r="N243" t="s">
        <v>19</v>
      </c>
    </row>
    <row r="244" spans="1:14" x14ac:dyDescent="0.3">
      <c r="A244" t="s">
        <v>277</v>
      </c>
      <c r="B244">
        <v>19</v>
      </c>
      <c r="C244" t="s">
        <v>15</v>
      </c>
      <c r="D244" t="s">
        <v>37</v>
      </c>
      <c r="E244">
        <v>3</v>
      </c>
      <c r="F244">
        <v>4.6100000000000003</v>
      </c>
      <c r="G244">
        <v>2</v>
      </c>
      <c r="H244">
        <v>93.2</v>
      </c>
      <c r="I244" t="s">
        <v>30</v>
      </c>
      <c r="J244" t="s">
        <v>33</v>
      </c>
      <c r="K244">
        <v>1.8</v>
      </c>
      <c r="L244">
        <v>5</v>
      </c>
      <c r="M244">
        <v>3.9</v>
      </c>
      <c r="N244" t="s">
        <v>19</v>
      </c>
    </row>
    <row r="245" spans="1:14" x14ac:dyDescent="0.3">
      <c r="A245" t="s">
        <v>278</v>
      </c>
      <c r="B245">
        <v>27</v>
      </c>
      <c r="C245" t="s">
        <v>21</v>
      </c>
      <c r="D245" t="s">
        <v>48</v>
      </c>
      <c r="E245">
        <v>1</v>
      </c>
      <c r="F245">
        <v>7.82</v>
      </c>
      <c r="G245">
        <v>4</v>
      </c>
      <c r="H245">
        <v>87.8</v>
      </c>
      <c r="I245" t="s">
        <v>30</v>
      </c>
      <c r="J245" t="s">
        <v>35</v>
      </c>
      <c r="K245">
        <v>1.2</v>
      </c>
      <c r="L245">
        <v>7</v>
      </c>
      <c r="M245">
        <v>4.3</v>
      </c>
      <c r="N245" t="s">
        <v>24</v>
      </c>
    </row>
    <row r="246" spans="1:14" x14ac:dyDescent="0.3">
      <c r="A246" t="s">
        <v>279</v>
      </c>
      <c r="B246">
        <v>20</v>
      </c>
      <c r="C246" t="s">
        <v>21</v>
      </c>
      <c r="D246" t="s">
        <v>37</v>
      </c>
      <c r="E246">
        <v>3</v>
      </c>
      <c r="F246">
        <v>6.9</v>
      </c>
      <c r="G246">
        <v>6</v>
      </c>
      <c r="H246">
        <v>50.3</v>
      </c>
      <c r="I246" t="s">
        <v>27</v>
      </c>
      <c r="J246" t="s">
        <v>23</v>
      </c>
      <c r="K246">
        <v>6.9</v>
      </c>
      <c r="L246">
        <v>2</v>
      </c>
      <c r="M246">
        <v>9.1999999999999993</v>
      </c>
      <c r="N246" t="s">
        <v>24</v>
      </c>
    </row>
    <row r="247" spans="1:14" x14ac:dyDescent="0.3">
      <c r="A247" t="s">
        <v>280</v>
      </c>
      <c r="B247">
        <v>25</v>
      </c>
      <c r="C247" t="s">
        <v>21</v>
      </c>
      <c r="D247" t="s">
        <v>43</v>
      </c>
      <c r="E247">
        <v>3</v>
      </c>
      <c r="F247">
        <v>6.4</v>
      </c>
      <c r="G247">
        <v>9</v>
      </c>
      <c r="H247">
        <v>88.8</v>
      </c>
      <c r="I247" t="s">
        <v>30</v>
      </c>
      <c r="J247" t="s">
        <v>35</v>
      </c>
      <c r="K247">
        <v>4</v>
      </c>
      <c r="L247">
        <v>7</v>
      </c>
      <c r="M247">
        <v>5.2</v>
      </c>
      <c r="N247" t="s">
        <v>24</v>
      </c>
    </row>
    <row r="248" spans="1:14" x14ac:dyDescent="0.3">
      <c r="A248" t="s">
        <v>281</v>
      </c>
      <c r="B248">
        <v>17</v>
      </c>
      <c r="C248" t="s">
        <v>21</v>
      </c>
      <c r="D248" t="s">
        <v>26</v>
      </c>
      <c r="E248">
        <v>2</v>
      </c>
      <c r="F248">
        <v>8.7899999999999991</v>
      </c>
      <c r="G248">
        <v>4</v>
      </c>
      <c r="H248">
        <v>82.8</v>
      </c>
      <c r="I248" t="s">
        <v>27</v>
      </c>
      <c r="J248" t="s">
        <v>35</v>
      </c>
      <c r="K248">
        <v>3.1</v>
      </c>
      <c r="L248">
        <v>4</v>
      </c>
      <c r="M248">
        <v>9.5</v>
      </c>
      <c r="N248" t="s">
        <v>24</v>
      </c>
    </row>
    <row r="249" spans="1:14" x14ac:dyDescent="0.3">
      <c r="A249" t="s">
        <v>282</v>
      </c>
      <c r="B249">
        <v>19</v>
      </c>
      <c r="C249" t="s">
        <v>15</v>
      </c>
      <c r="D249" t="s">
        <v>22</v>
      </c>
      <c r="E249">
        <v>1</v>
      </c>
      <c r="F249">
        <v>9.5399999999999991</v>
      </c>
      <c r="G249">
        <v>4</v>
      </c>
      <c r="H249">
        <v>93</v>
      </c>
      <c r="I249" t="s">
        <v>17</v>
      </c>
      <c r="J249" t="s">
        <v>33</v>
      </c>
      <c r="K249">
        <v>3.6</v>
      </c>
      <c r="L249">
        <v>5</v>
      </c>
      <c r="M249">
        <v>6.7</v>
      </c>
      <c r="N249" t="s">
        <v>19</v>
      </c>
    </row>
    <row r="250" spans="1:14" x14ac:dyDescent="0.3">
      <c r="A250" t="s">
        <v>283</v>
      </c>
      <c r="B250">
        <v>22</v>
      </c>
      <c r="C250" t="s">
        <v>21</v>
      </c>
      <c r="D250" t="s">
        <v>26</v>
      </c>
      <c r="E250">
        <v>2</v>
      </c>
      <c r="F250">
        <v>7.02</v>
      </c>
      <c r="G250">
        <v>10</v>
      </c>
      <c r="H250">
        <v>52.2</v>
      </c>
      <c r="I250" t="s">
        <v>27</v>
      </c>
      <c r="J250" t="s">
        <v>35</v>
      </c>
      <c r="K250">
        <v>6</v>
      </c>
      <c r="L250">
        <v>8</v>
      </c>
      <c r="M250">
        <v>8.8000000000000007</v>
      </c>
      <c r="N250" t="s">
        <v>19</v>
      </c>
    </row>
    <row r="251" spans="1:14" x14ac:dyDescent="0.3">
      <c r="A251" t="s">
        <v>284</v>
      </c>
      <c r="B251">
        <v>23</v>
      </c>
      <c r="C251" t="s">
        <v>21</v>
      </c>
      <c r="D251" t="s">
        <v>16</v>
      </c>
      <c r="E251">
        <v>1</v>
      </c>
      <c r="F251">
        <v>5.72</v>
      </c>
      <c r="G251">
        <v>10</v>
      </c>
      <c r="H251">
        <v>80.599999999999994</v>
      </c>
      <c r="I251" t="s">
        <v>30</v>
      </c>
      <c r="J251" t="s">
        <v>35</v>
      </c>
      <c r="K251">
        <v>0.7</v>
      </c>
      <c r="L251">
        <v>4</v>
      </c>
      <c r="M251">
        <v>7.7</v>
      </c>
      <c r="N251" t="s">
        <v>24</v>
      </c>
    </row>
    <row r="252" spans="1:14" x14ac:dyDescent="0.3">
      <c r="A252" t="s">
        <v>285</v>
      </c>
      <c r="B252">
        <v>24</v>
      </c>
      <c r="C252" t="s">
        <v>15</v>
      </c>
      <c r="D252" t="s">
        <v>48</v>
      </c>
      <c r="E252">
        <v>1</v>
      </c>
      <c r="F252">
        <v>4.3899999999999997</v>
      </c>
      <c r="G252">
        <v>4</v>
      </c>
      <c r="H252">
        <v>54.1</v>
      </c>
      <c r="I252" t="s">
        <v>27</v>
      </c>
      <c r="J252" t="s">
        <v>54</v>
      </c>
      <c r="K252">
        <v>5</v>
      </c>
      <c r="L252">
        <v>4</v>
      </c>
      <c r="M252">
        <v>3.7</v>
      </c>
      <c r="N252" t="s">
        <v>24</v>
      </c>
    </row>
    <row r="253" spans="1:14" x14ac:dyDescent="0.3">
      <c r="A253" t="s">
        <v>286</v>
      </c>
      <c r="B253">
        <v>26</v>
      </c>
      <c r="C253" t="s">
        <v>21</v>
      </c>
      <c r="D253" t="s">
        <v>29</v>
      </c>
      <c r="E253">
        <v>2</v>
      </c>
      <c r="F253">
        <v>9.06</v>
      </c>
      <c r="G253">
        <v>10</v>
      </c>
      <c r="H253">
        <v>97.9</v>
      </c>
      <c r="I253" t="s">
        <v>30</v>
      </c>
      <c r="J253" t="s">
        <v>35</v>
      </c>
      <c r="K253">
        <v>8.1</v>
      </c>
      <c r="L253">
        <v>3</v>
      </c>
      <c r="M253">
        <v>7.2</v>
      </c>
      <c r="N253" t="s">
        <v>24</v>
      </c>
    </row>
    <row r="254" spans="1:14" x14ac:dyDescent="0.3">
      <c r="A254" t="s">
        <v>287</v>
      </c>
      <c r="B254">
        <v>27</v>
      </c>
      <c r="C254" t="s">
        <v>15</v>
      </c>
      <c r="D254" t="s">
        <v>39</v>
      </c>
      <c r="E254">
        <v>1</v>
      </c>
      <c r="F254">
        <v>7.85</v>
      </c>
      <c r="G254">
        <v>5</v>
      </c>
      <c r="H254">
        <v>86.2</v>
      </c>
      <c r="I254" t="s">
        <v>30</v>
      </c>
      <c r="J254" t="s">
        <v>18</v>
      </c>
      <c r="K254">
        <v>2</v>
      </c>
      <c r="L254">
        <v>5</v>
      </c>
      <c r="M254">
        <v>5.8</v>
      </c>
      <c r="N254" t="s">
        <v>24</v>
      </c>
    </row>
    <row r="255" spans="1:14" x14ac:dyDescent="0.3">
      <c r="A255" t="s">
        <v>288</v>
      </c>
      <c r="B255">
        <v>24</v>
      </c>
      <c r="C255" t="s">
        <v>15</v>
      </c>
      <c r="D255" t="s">
        <v>22</v>
      </c>
      <c r="E255">
        <v>2</v>
      </c>
      <c r="F255">
        <v>5.94</v>
      </c>
      <c r="G255">
        <v>2</v>
      </c>
      <c r="H255">
        <v>82.9</v>
      </c>
      <c r="I255" t="s">
        <v>17</v>
      </c>
      <c r="J255" t="s">
        <v>35</v>
      </c>
      <c r="K255">
        <v>1.1000000000000001</v>
      </c>
      <c r="L255">
        <v>8</v>
      </c>
      <c r="M255">
        <v>4.5999999999999996</v>
      </c>
      <c r="N255" t="s">
        <v>24</v>
      </c>
    </row>
    <row r="256" spans="1:14" x14ac:dyDescent="0.3">
      <c r="A256" t="s">
        <v>289</v>
      </c>
      <c r="B256">
        <v>23</v>
      </c>
      <c r="C256" t="s">
        <v>15</v>
      </c>
      <c r="D256" t="s">
        <v>29</v>
      </c>
      <c r="E256">
        <v>2</v>
      </c>
      <c r="F256">
        <v>5.93</v>
      </c>
      <c r="G256">
        <v>4</v>
      </c>
      <c r="H256">
        <v>50.7</v>
      </c>
      <c r="I256" t="s">
        <v>30</v>
      </c>
      <c r="J256" t="s">
        <v>23</v>
      </c>
      <c r="K256">
        <v>8.3000000000000007</v>
      </c>
      <c r="L256">
        <v>10</v>
      </c>
      <c r="M256">
        <v>7.6</v>
      </c>
      <c r="N256" t="s">
        <v>19</v>
      </c>
    </row>
    <row r="257" spans="1:14" x14ac:dyDescent="0.3">
      <c r="A257" t="s">
        <v>290</v>
      </c>
      <c r="B257">
        <v>26</v>
      </c>
      <c r="C257" t="s">
        <v>15</v>
      </c>
      <c r="D257" t="s">
        <v>26</v>
      </c>
      <c r="E257">
        <v>1</v>
      </c>
      <c r="F257">
        <v>6.88</v>
      </c>
      <c r="G257">
        <v>9</v>
      </c>
      <c r="H257">
        <v>84.8</v>
      </c>
      <c r="I257" t="s">
        <v>27</v>
      </c>
      <c r="J257" t="s">
        <v>35</v>
      </c>
      <c r="K257">
        <v>0.7</v>
      </c>
      <c r="L257">
        <v>1</v>
      </c>
      <c r="M257">
        <v>8.1</v>
      </c>
      <c r="N257" t="s">
        <v>24</v>
      </c>
    </row>
    <row r="258" spans="1:14" x14ac:dyDescent="0.3">
      <c r="A258" t="s">
        <v>291</v>
      </c>
      <c r="B258">
        <v>22</v>
      </c>
      <c r="C258" t="s">
        <v>15</v>
      </c>
      <c r="D258" t="s">
        <v>37</v>
      </c>
      <c r="E258">
        <v>2</v>
      </c>
      <c r="F258">
        <v>7.57</v>
      </c>
      <c r="G258">
        <v>4</v>
      </c>
      <c r="H258">
        <v>82</v>
      </c>
      <c r="I258" t="s">
        <v>17</v>
      </c>
      <c r="J258" t="s">
        <v>35</v>
      </c>
      <c r="K258">
        <v>6.4</v>
      </c>
      <c r="L258">
        <v>3</v>
      </c>
      <c r="M258">
        <v>9.1999999999999993</v>
      </c>
      <c r="N258" t="s">
        <v>19</v>
      </c>
    </row>
    <row r="259" spans="1:14" x14ac:dyDescent="0.3">
      <c r="A259" t="s">
        <v>292</v>
      </c>
      <c r="B259">
        <v>20</v>
      </c>
      <c r="C259" t="s">
        <v>15</v>
      </c>
      <c r="D259" t="s">
        <v>29</v>
      </c>
      <c r="E259">
        <v>2</v>
      </c>
      <c r="F259">
        <v>6.13</v>
      </c>
      <c r="G259">
        <v>9</v>
      </c>
      <c r="H259">
        <v>93.6</v>
      </c>
      <c r="I259" t="s">
        <v>17</v>
      </c>
      <c r="J259" t="s">
        <v>54</v>
      </c>
      <c r="K259">
        <v>7.5</v>
      </c>
      <c r="L259">
        <v>3</v>
      </c>
      <c r="M259">
        <v>7.6</v>
      </c>
      <c r="N259" t="s">
        <v>19</v>
      </c>
    </row>
    <row r="260" spans="1:14" x14ac:dyDescent="0.3">
      <c r="A260" t="s">
        <v>293</v>
      </c>
      <c r="B260">
        <v>26</v>
      </c>
      <c r="C260" t="s">
        <v>15</v>
      </c>
      <c r="D260" t="s">
        <v>43</v>
      </c>
      <c r="E260">
        <v>2</v>
      </c>
      <c r="F260">
        <v>7.66</v>
      </c>
      <c r="G260">
        <v>3</v>
      </c>
      <c r="H260">
        <v>81.900000000000006</v>
      </c>
      <c r="I260" t="s">
        <v>27</v>
      </c>
      <c r="J260" t="s">
        <v>33</v>
      </c>
      <c r="K260">
        <v>0.1</v>
      </c>
      <c r="L260">
        <v>3</v>
      </c>
      <c r="M260">
        <v>8.4</v>
      </c>
      <c r="N260" t="s">
        <v>19</v>
      </c>
    </row>
    <row r="261" spans="1:14" x14ac:dyDescent="0.3">
      <c r="A261" t="s">
        <v>294</v>
      </c>
      <c r="B261">
        <v>22</v>
      </c>
      <c r="C261" t="s">
        <v>21</v>
      </c>
      <c r="D261" t="s">
        <v>43</v>
      </c>
      <c r="E261">
        <v>1</v>
      </c>
      <c r="F261">
        <v>8.23</v>
      </c>
      <c r="G261">
        <v>2</v>
      </c>
      <c r="H261">
        <v>74.400000000000006</v>
      </c>
      <c r="I261" t="s">
        <v>30</v>
      </c>
      <c r="J261" t="s">
        <v>23</v>
      </c>
      <c r="K261">
        <v>6.2</v>
      </c>
      <c r="L261">
        <v>2</v>
      </c>
      <c r="M261">
        <v>9.4</v>
      </c>
      <c r="N261" t="s">
        <v>24</v>
      </c>
    </row>
    <row r="262" spans="1:14" x14ac:dyDescent="0.3">
      <c r="A262" t="s">
        <v>295</v>
      </c>
      <c r="B262">
        <v>23</v>
      </c>
      <c r="C262" t="s">
        <v>15</v>
      </c>
      <c r="D262" t="s">
        <v>48</v>
      </c>
      <c r="E262">
        <v>3</v>
      </c>
      <c r="F262">
        <v>7.14</v>
      </c>
      <c r="G262">
        <v>8</v>
      </c>
      <c r="H262">
        <v>91.9</v>
      </c>
      <c r="I262" t="s">
        <v>27</v>
      </c>
      <c r="J262" t="s">
        <v>54</v>
      </c>
      <c r="K262">
        <v>4.2</v>
      </c>
      <c r="L262">
        <v>3</v>
      </c>
      <c r="M262">
        <v>3.8</v>
      </c>
      <c r="N262" t="s">
        <v>19</v>
      </c>
    </row>
    <row r="263" spans="1:14" x14ac:dyDescent="0.3">
      <c r="A263" t="s">
        <v>296</v>
      </c>
      <c r="B263">
        <v>23</v>
      </c>
      <c r="C263" t="s">
        <v>21</v>
      </c>
      <c r="D263" t="s">
        <v>16</v>
      </c>
      <c r="E263">
        <v>1</v>
      </c>
      <c r="F263">
        <v>5.88</v>
      </c>
      <c r="G263">
        <v>6</v>
      </c>
      <c r="H263">
        <v>72.2</v>
      </c>
      <c r="I263" t="s">
        <v>17</v>
      </c>
      <c r="J263" t="s">
        <v>54</v>
      </c>
      <c r="K263">
        <v>4.8</v>
      </c>
      <c r="L263">
        <v>7</v>
      </c>
      <c r="M263">
        <v>9.3000000000000007</v>
      </c>
      <c r="N263" t="s">
        <v>24</v>
      </c>
    </row>
    <row r="264" spans="1:14" x14ac:dyDescent="0.3">
      <c r="A264" t="s">
        <v>297</v>
      </c>
      <c r="B264">
        <v>22</v>
      </c>
      <c r="C264" t="s">
        <v>15</v>
      </c>
      <c r="D264" t="s">
        <v>39</v>
      </c>
      <c r="E264">
        <v>2</v>
      </c>
      <c r="F264">
        <v>4.34</v>
      </c>
      <c r="G264">
        <v>6</v>
      </c>
      <c r="H264">
        <v>67.599999999999994</v>
      </c>
      <c r="I264" t="s">
        <v>27</v>
      </c>
      <c r="J264" t="s">
        <v>33</v>
      </c>
      <c r="K264">
        <v>9</v>
      </c>
      <c r="L264">
        <v>2</v>
      </c>
      <c r="M264">
        <v>3.8</v>
      </c>
      <c r="N264" t="s">
        <v>19</v>
      </c>
    </row>
    <row r="265" spans="1:14" x14ac:dyDescent="0.3">
      <c r="A265" t="s">
        <v>298</v>
      </c>
      <c r="B265">
        <v>24</v>
      </c>
      <c r="C265" t="s">
        <v>21</v>
      </c>
      <c r="D265" t="s">
        <v>48</v>
      </c>
      <c r="E265">
        <v>1</v>
      </c>
      <c r="F265">
        <v>6.4</v>
      </c>
      <c r="G265">
        <v>8</v>
      </c>
      <c r="H265">
        <v>65.8</v>
      </c>
      <c r="I265" t="s">
        <v>27</v>
      </c>
      <c r="J265" t="s">
        <v>54</v>
      </c>
      <c r="K265">
        <v>5.9</v>
      </c>
      <c r="L265">
        <v>6</v>
      </c>
      <c r="M265">
        <v>7.4</v>
      </c>
      <c r="N265" t="s">
        <v>19</v>
      </c>
    </row>
    <row r="266" spans="1:14" x14ac:dyDescent="0.3">
      <c r="A266" t="s">
        <v>299</v>
      </c>
      <c r="B266">
        <v>19</v>
      </c>
      <c r="C266" t="s">
        <v>21</v>
      </c>
      <c r="D266" t="s">
        <v>16</v>
      </c>
      <c r="E266">
        <v>3</v>
      </c>
      <c r="F266">
        <v>5.31</v>
      </c>
      <c r="G266">
        <v>3</v>
      </c>
      <c r="H266">
        <v>57</v>
      </c>
      <c r="I266" t="s">
        <v>27</v>
      </c>
      <c r="J266" t="s">
        <v>33</v>
      </c>
      <c r="K266">
        <v>4.2</v>
      </c>
      <c r="L266">
        <v>7</v>
      </c>
      <c r="M266">
        <v>8.3000000000000007</v>
      </c>
      <c r="N266" t="s">
        <v>24</v>
      </c>
    </row>
    <row r="267" spans="1:14" x14ac:dyDescent="0.3">
      <c r="A267" t="s">
        <v>300</v>
      </c>
      <c r="B267">
        <v>18</v>
      </c>
      <c r="C267" t="s">
        <v>21</v>
      </c>
      <c r="D267" t="s">
        <v>43</v>
      </c>
      <c r="E267">
        <v>3</v>
      </c>
      <c r="F267">
        <v>7.66</v>
      </c>
      <c r="G267">
        <v>7</v>
      </c>
      <c r="H267">
        <v>58.7</v>
      </c>
      <c r="I267" t="s">
        <v>17</v>
      </c>
      <c r="J267" t="s">
        <v>35</v>
      </c>
      <c r="K267">
        <v>0.9</v>
      </c>
      <c r="L267">
        <v>6</v>
      </c>
      <c r="M267">
        <v>5.4</v>
      </c>
      <c r="N267" t="s">
        <v>19</v>
      </c>
    </row>
    <row r="268" spans="1:14" x14ac:dyDescent="0.3">
      <c r="A268" t="s">
        <v>301</v>
      </c>
      <c r="B268">
        <v>20</v>
      </c>
      <c r="C268" t="s">
        <v>15</v>
      </c>
      <c r="D268" t="s">
        <v>39</v>
      </c>
      <c r="E268">
        <v>3</v>
      </c>
      <c r="F268">
        <v>5.68</v>
      </c>
      <c r="G268">
        <v>7</v>
      </c>
      <c r="H268">
        <v>74.7</v>
      </c>
      <c r="I268" t="s">
        <v>30</v>
      </c>
      <c r="J268" t="s">
        <v>54</v>
      </c>
      <c r="K268">
        <v>2.1</v>
      </c>
      <c r="L268">
        <v>8</v>
      </c>
      <c r="M268">
        <v>5.8</v>
      </c>
      <c r="N268" t="s">
        <v>19</v>
      </c>
    </row>
    <row r="269" spans="1:14" x14ac:dyDescent="0.3">
      <c r="A269" t="s">
        <v>302</v>
      </c>
      <c r="B269">
        <v>23</v>
      </c>
      <c r="C269" t="s">
        <v>21</v>
      </c>
      <c r="D269" t="s">
        <v>37</v>
      </c>
      <c r="E269">
        <v>3</v>
      </c>
      <c r="F269">
        <v>7.16</v>
      </c>
      <c r="G269">
        <v>9</v>
      </c>
      <c r="H269">
        <v>55.2</v>
      </c>
      <c r="I269" t="s">
        <v>17</v>
      </c>
      <c r="J269" t="s">
        <v>35</v>
      </c>
      <c r="K269">
        <v>1</v>
      </c>
      <c r="L269">
        <v>9</v>
      </c>
      <c r="M269">
        <v>8.6</v>
      </c>
      <c r="N269" t="s">
        <v>24</v>
      </c>
    </row>
    <row r="270" spans="1:14" x14ac:dyDescent="0.3">
      <c r="A270" t="s">
        <v>303</v>
      </c>
      <c r="B270">
        <v>17</v>
      </c>
      <c r="C270" t="s">
        <v>15</v>
      </c>
      <c r="D270" t="s">
        <v>48</v>
      </c>
      <c r="E270">
        <v>2</v>
      </c>
      <c r="F270">
        <v>8.59</v>
      </c>
      <c r="G270">
        <v>9</v>
      </c>
      <c r="H270">
        <v>86.6</v>
      </c>
      <c r="I270" t="s">
        <v>27</v>
      </c>
      <c r="J270" t="s">
        <v>23</v>
      </c>
      <c r="K270">
        <v>5.0999999999999996</v>
      </c>
      <c r="L270">
        <v>10</v>
      </c>
      <c r="M270">
        <v>5.8</v>
      </c>
      <c r="N270" t="s">
        <v>19</v>
      </c>
    </row>
    <row r="271" spans="1:14" x14ac:dyDescent="0.3">
      <c r="A271" t="s">
        <v>304</v>
      </c>
      <c r="B271">
        <v>23</v>
      </c>
      <c r="C271" t="s">
        <v>15</v>
      </c>
      <c r="D271" t="s">
        <v>16</v>
      </c>
      <c r="E271">
        <v>3</v>
      </c>
      <c r="F271">
        <v>4.3099999999999996</v>
      </c>
      <c r="G271">
        <v>3</v>
      </c>
      <c r="H271">
        <v>73.8</v>
      </c>
      <c r="I271" t="s">
        <v>27</v>
      </c>
      <c r="J271" t="s">
        <v>35</v>
      </c>
      <c r="K271">
        <v>2.2000000000000002</v>
      </c>
      <c r="L271">
        <v>10</v>
      </c>
      <c r="M271">
        <v>6.2</v>
      </c>
      <c r="N271" t="s">
        <v>24</v>
      </c>
    </row>
    <row r="272" spans="1:14" x14ac:dyDescent="0.3">
      <c r="A272" t="s">
        <v>305</v>
      </c>
      <c r="B272">
        <v>21</v>
      </c>
      <c r="C272" t="s">
        <v>15</v>
      </c>
      <c r="D272" t="s">
        <v>29</v>
      </c>
      <c r="E272">
        <v>2</v>
      </c>
      <c r="F272">
        <v>7.95</v>
      </c>
      <c r="G272">
        <v>4</v>
      </c>
      <c r="H272">
        <v>85.5</v>
      </c>
      <c r="I272" t="s">
        <v>17</v>
      </c>
      <c r="J272" t="s">
        <v>35</v>
      </c>
      <c r="K272">
        <v>0.3</v>
      </c>
      <c r="L272">
        <v>9</v>
      </c>
      <c r="M272">
        <v>4.2</v>
      </c>
      <c r="N272" t="s">
        <v>24</v>
      </c>
    </row>
    <row r="273" spans="1:14" x14ac:dyDescent="0.3">
      <c r="A273" t="s">
        <v>306</v>
      </c>
      <c r="B273">
        <v>19</v>
      </c>
      <c r="C273" t="s">
        <v>21</v>
      </c>
      <c r="D273" t="s">
        <v>26</v>
      </c>
      <c r="E273">
        <v>2</v>
      </c>
      <c r="F273">
        <v>6.6</v>
      </c>
      <c r="G273">
        <v>5</v>
      </c>
      <c r="H273">
        <v>61.9</v>
      </c>
      <c r="I273" t="s">
        <v>17</v>
      </c>
      <c r="J273" t="s">
        <v>33</v>
      </c>
      <c r="K273">
        <v>4.5999999999999996</v>
      </c>
      <c r="L273">
        <v>3</v>
      </c>
      <c r="M273">
        <v>6.6</v>
      </c>
      <c r="N273" t="s">
        <v>19</v>
      </c>
    </row>
    <row r="274" spans="1:14" x14ac:dyDescent="0.3">
      <c r="A274" t="s">
        <v>307</v>
      </c>
      <c r="B274">
        <v>27</v>
      </c>
      <c r="C274" t="s">
        <v>21</v>
      </c>
      <c r="D274" t="s">
        <v>22</v>
      </c>
      <c r="E274">
        <v>1</v>
      </c>
      <c r="F274">
        <v>9.9700000000000006</v>
      </c>
      <c r="G274">
        <v>5</v>
      </c>
      <c r="H274">
        <v>88.7</v>
      </c>
      <c r="I274" t="s">
        <v>27</v>
      </c>
      <c r="J274" t="s">
        <v>54</v>
      </c>
      <c r="K274">
        <v>8.1</v>
      </c>
      <c r="L274">
        <v>10</v>
      </c>
      <c r="M274">
        <v>3.6</v>
      </c>
      <c r="N274" t="s">
        <v>24</v>
      </c>
    </row>
    <row r="275" spans="1:14" x14ac:dyDescent="0.3">
      <c r="A275" t="s">
        <v>308</v>
      </c>
      <c r="B275">
        <v>18</v>
      </c>
      <c r="C275" t="s">
        <v>21</v>
      </c>
      <c r="D275" t="s">
        <v>22</v>
      </c>
      <c r="E275">
        <v>1</v>
      </c>
      <c r="F275">
        <v>4.59</v>
      </c>
      <c r="G275">
        <v>10</v>
      </c>
      <c r="H275">
        <v>90.2</v>
      </c>
      <c r="I275" t="s">
        <v>17</v>
      </c>
      <c r="J275" t="s">
        <v>54</v>
      </c>
      <c r="K275">
        <v>2.1</v>
      </c>
      <c r="L275">
        <v>5</v>
      </c>
      <c r="M275">
        <v>6.7</v>
      </c>
      <c r="N275" t="s">
        <v>19</v>
      </c>
    </row>
    <row r="276" spans="1:14" x14ac:dyDescent="0.3">
      <c r="A276" t="s">
        <v>309</v>
      </c>
      <c r="B276">
        <v>18</v>
      </c>
      <c r="C276" t="s">
        <v>15</v>
      </c>
      <c r="D276" t="s">
        <v>26</v>
      </c>
      <c r="E276">
        <v>1</v>
      </c>
      <c r="F276">
        <v>4.4800000000000004</v>
      </c>
      <c r="G276">
        <v>3</v>
      </c>
      <c r="H276">
        <v>80.599999999999994</v>
      </c>
      <c r="I276" t="s">
        <v>17</v>
      </c>
      <c r="J276" t="s">
        <v>33</v>
      </c>
      <c r="K276">
        <v>2.6</v>
      </c>
      <c r="L276">
        <v>7</v>
      </c>
      <c r="M276">
        <v>5.9</v>
      </c>
      <c r="N276" t="s">
        <v>24</v>
      </c>
    </row>
    <row r="277" spans="1:14" x14ac:dyDescent="0.3">
      <c r="A277" t="s">
        <v>310</v>
      </c>
      <c r="B277">
        <v>17</v>
      </c>
      <c r="C277" t="s">
        <v>21</v>
      </c>
      <c r="D277" t="s">
        <v>37</v>
      </c>
      <c r="E277">
        <v>3</v>
      </c>
      <c r="F277">
        <v>6.43</v>
      </c>
      <c r="G277">
        <v>7</v>
      </c>
      <c r="H277">
        <v>58</v>
      </c>
      <c r="I277" t="s">
        <v>30</v>
      </c>
      <c r="J277" t="s">
        <v>33</v>
      </c>
      <c r="K277">
        <v>8.3000000000000007</v>
      </c>
      <c r="L277">
        <v>4</v>
      </c>
      <c r="M277">
        <v>9.5</v>
      </c>
      <c r="N277" t="s">
        <v>19</v>
      </c>
    </row>
    <row r="278" spans="1:14" x14ac:dyDescent="0.3">
      <c r="A278" t="s">
        <v>311</v>
      </c>
      <c r="B278">
        <v>26</v>
      </c>
      <c r="C278" t="s">
        <v>15</v>
      </c>
      <c r="D278" t="s">
        <v>37</v>
      </c>
      <c r="E278">
        <v>2</v>
      </c>
      <c r="F278">
        <v>5.46</v>
      </c>
      <c r="G278">
        <v>9</v>
      </c>
      <c r="H278">
        <v>53.3</v>
      </c>
      <c r="I278" t="s">
        <v>27</v>
      </c>
      <c r="J278" t="s">
        <v>23</v>
      </c>
      <c r="K278">
        <v>2.4</v>
      </c>
      <c r="L278">
        <v>9</v>
      </c>
      <c r="M278">
        <v>6.5</v>
      </c>
      <c r="N278" t="s">
        <v>19</v>
      </c>
    </row>
    <row r="279" spans="1:14" x14ac:dyDescent="0.3">
      <c r="A279" t="s">
        <v>312</v>
      </c>
      <c r="B279">
        <v>19</v>
      </c>
      <c r="C279" t="s">
        <v>21</v>
      </c>
      <c r="D279" t="s">
        <v>48</v>
      </c>
      <c r="E279">
        <v>3</v>
      </c>
      <c r="F279">
        <v>8.84</v>
      </c>
      <c r="G279">
        <v>5</v>
      </c>
      <c r="H279">
        <v>65.7</v>
      </c>
      <c r="I279" t="s">
        <v>30</v>
      </c>
      <c r="J279" t="s">
        <v>33</v>
      </c>
      <c r="K279">
        <v>6.5</v>
      </c>
      <c r="L279">
        <v>6</v>
      </c>
      <c r="M279">
        <v>5.0999999999999996</v>
      </c>
      <c r="N279" t="s">
        <v>19</v>
      </c>
    </row>
    <row r="280" spans="1:14" x14ac:dyDescent="0.3">
      <c r="A280" t="s">
        <v>313</v>
      </c>
      <c r="B280">
        <v>24</v>
      </c>
      <c r="C280" t="s">
        <v>15</v>
      </c>
      <c r="D280" t="s">
        <v>26</v>
      </c>
      <c r="E280">
        <v>2</v>
      </c>
      <c r="F280">
        <v>7.16</v>
      </c>
      <c r="G280">
        <v>7</v>
      </c>
      <c r="H280">
        <v>87.4</v>
      </c>
      <c r="I280" t="s">
        <v>17</v>
      </c>
      <c r="J280" t="s">
        <v>33</v>
      </c>
      <c r="K280">
        <v>8</v>
      </c>
      <c r="L280">
        <v>3</v>
      </c>
      <c r="M280">
        <v>5.5</v>
      </c>
      <c r="N280" t="s">
        <v>24</v>
      </c>
    </row>
    <row r="281" spans="1:14" x14ac:dyDescent="0.3">
      <c r="A281" t="s">
        <v>314</v>
      </c>
      <c r="B281">
        <v>26</v>
      </c>
      <c r="C281" t="s">
        <v>21</v>
      </c>
      <c r="D281" t="s">
        <v>32</v>
      </c>
      <c r="E281">
        <v>1</v>
      </c>
      <c r="F281">
        <v>6.72</v>
      </c>
      <c r="G281">
        <v>5</v>
      </c>
      <c r="H281">
        <v>63</v>
      </c>
      <c r="I281" t="s">
        <v>30</v>
      </c>
      <c r="J281" t="s">
        <v>18</v>
      </c>
      <c r="K281">
        <v>0.2</v>
      </c>
      <c r="L281">
        <v>6</v>
      </c>
      <c r="M281">
        <v>7.3</v>
      </c>
      <c r="N281" t="s">
        <v>24</v>
      </c>
    </row>
    <row r="282" spans="1:14" x14ac:dyDescent="0.3">
      <c r="A282" t="s">
        <v>315</v>
      </c>
      <c r="B282">
        <v>21</v>
      </c>
      <c r="C282" t="s">
        <v>15</v>
      </c>
      <c r="D282" t="s">
        <v>39</v>
      </c>
      <c r="E282">
        <v>3</v>
      </c>
      <c r="F282">
        <v>4.8099999999999996</v>
      </c>
      <c r="G282">
        <v>7</v>
      </c>
      <c r="H282">
        <v>90.4</v>
      </c>
      <c r="I282" t="s">
        <v>30</v>
      </c>
      <c r="J282" t="s">
        <v>33</v>
      </c>
      <c r="K282">
        <v>7.8</v>
      </c>
      <c r="L282">
        <v>4</v>
      </c>
      <c r="M282">
        <v>7.8</v>
      </c>
      <c r="N282" t="s">
        <v>24</v>
      </c>
    </row>
    <row r="283" spans="1:14" x14ac:dyDescent="0.3">
      <c r="A283" t="s">
        <v>316</v>
      </c>
      <c r="B283">
        <v>26</v>
      </c>
      <c r="C283" t="s">
        <v>21</v>
      </c>
      <c r="D283" t="s">
        <v>32</v>
      </c>
      <c r="E283">
        <v>2</v>
      </c>
      <c r="F283">
        <v>6.26</v>
      </c>
      <c r="G283">
        <v>5</v>
      </c>
      <c r="H283">
        <v>65.8</v>
      </c>
      <c r="I283" t="s">
        <v>17</v>
      </c>
      <c r="J283" t="s">
        <v>35</v>
      </c>
      <c r="K283">
        <v>0.4</v>
      </c>
      <c r="L283">
        <v>1</v>
      </c>
      <c r="M283">
        <v>7</v>
      </c>
      <c r="N283" t="s">
        <v>19</v>
      </c>
    </row>
    <row r="284" spans="1:14" x14ac:dyDescent="0.3">
      <c r="A284" t="s">
        <v>317</v>
      </c>
      <c r="B284">
        <v>22</v>
      </c>
      <c r="C284" t="s">
        <v>15</v>
      </c>
      <c r="D284" t="s">
        <v>22</v>
      </c>
      <c r="E284">
        <v>1</v>
      </c>
      <c r="F284">
        <v>5.86</v>
      </c>
      <c r="G284">
        <v>3</v>
      </c>
      <c r="H284">
        <v>58.8</v>
      </c>
      <c r="I284" t="s">
        <v>27</v>
      </c>
      <c r="J284" t="s">
        <v>23</v>
      </c>
      <c r="K284">
        <v>3.7</v>
      </c>
      <c r="L284">
        <v>4</v>
      </c>
      <c r="M284">
        <v>6.3</v>
      </c>
      <c r="N284" t="s">
        <v>19</v>
      </c>
    </row>
    <row r="285" spans="1:14" x14ac:dyDescent="0.3">
      <c r="A285" t="s">
        <v>318</v>
      </c>
      <c r="B285">
        <v>18</v>
      </c>
      <c r="C285" t="s">
        <v>15</v>
      </c>
      <c r="D285" t="s">
        <v>48</v>
      </c>
      <c r="E285">
        <v>1</v>
      </c>
      <c r="F285">
        <v>9.61</v>
      </c>
      <c r="G285">
        <v>4</v>
      </c>
      <c r="H285">
        <v>73.099999999999994</v>
      </c>
      <c r="I285" t="s">
        <v>27</v>
      </c>
      <c r="J285" t="s">
        <v>33</v>
      </c>
      <c r="K285">
        <v>1.8</v>
      </c>
      <c r="L285">
        <v>4</v>
      </c>
      <c r="M285">
        <v>9.1999999999999993</v>
      </c>
      <c r="N285" t="s">
        <v>24</v>
      </c>
    </row>
    <row r="286" spans="1:14" x14ac:dyDescent="0.3">
      <c r="A286" t="s">
        <v>319</v>
      </c>
      <c r="B286">
        <v>17</v>
      </c>
      <c r="C286" t="s">
        <v>21</v>
      </c>
      <c r="D286" t="s">
        <v>22</v>
      </c>
      <c r="E286">
        <v>1</v>
      </c>
      <c r="F286">
        <v>7.65</v>
      </c>
      <c r="G286">
        <v>2</v>
      </c>
      <c r="H286">
        <v>83.9</v>
      </c>
      <c r="I286" t="s">
        <v>27</v>
      </c>
      <c r="J286" t="s">
        <v>18</v>
      </c>
      <c r="K286">
        <v>3.8</v>
      </c>
      <c r="L286">
        <v>9</v>
      </c>
      <c r="M286">
        <v>7.3</v>
      </c>
      <c r="N286" t="s">
        <v>19</v>
      </c>
    </row>
    <row r="287" spans="1:14" x14ac:dyDescent="0.3">
      <c r="A287" t="s">
        <v>320</v>
      </c>
      <c r="B287">
        <v>20</v>
      </c>
      <c r="C287" t="s">
        <v>21</v>
      </c>
      <c r="D287" t="s">
        <v>39</v>
      </c>
      <c r="E287">
        <v>3</v>
      </c>
      <c r="F287">
        <v>9.5500000000000007</v>
      </c>
      <c r="G287">
        <v>5</v>
      </c>
      <c r="H287">
        <v>96</v>
      </c>
      <c r="I287" t="s">
        <v>27</v>
      </c>
      <c r="J287" t="s">
        <v>35</v>
      </c>
      <c r="K287">
        <v>3.7</v>
      </c>
      <c r="L287">
        <v>4</v>
      </c>
      <c r="M287">
        <v>3.9</v>
      </c>
      <c r="N287" t="s">
        <v>19</v>
      </c>
    </row>
    <row r="288" spans="1:14" x14ac:dyDescent="0.3">
      <c r="A288" t="s">
        <v>321</v>
      </c>
      <c r="B288">
        <v>19</v>
      </c>
      <c r="C288" t="s">
        <v>15</v>
      </c>
      <c r="D288" t="s">
        <v>16</v>
      </c>
      <c r="E288">
        <v>1</v>
      </c>
      <c r="F288">
        <v>6.12</v>
      </c>
      <c r="G288">
        <v>5</v>
      </c>
      <c r="H288">
        <v>58.5</v>
      </c>
      <c r="I288" t="s">
        <v>30</v>
      </c>
      <c r="J288" t="s">
        <v>18</v>
      </c>
      <c r="K288">
        <v>6.8</v>
      </c>
      <c r="L288">
        <v>3</v>
      </c>
      <c r="M288">
        <v>6.4</v>
      </c>
      <c r="N288" t="s">
        <v>24</v>
      </c>
    </row>
    <row r="289" spans="1:14" x14ac:dyDescent="0.3">
      <c r="A289" t="s">
        <v>322</v>
      </c>
      <c r="B289">
        <v>18</v>
      </c>
      <c r="C289" t="s">
        <v>21</v>
      </c>
      <c r="D289" t="s">
        <v>32</v>
      </c>
      <c r="E289">
        <v>1</v>
      </c>
      <c r="F289">
        <v>8.33</v>
      </c>
      <c r="G289">
        <v>10</v>
      </c>
      <c r="H289">
        <v>81.7</v>
      </c>
      <c r="I289" t="s">
        <v>17</v>
      </c>
      <c r="J289" t="s">
        <v>18</v>
      </c>
      <c r="K289">
        <v>8</v>
      </c>
      <c r="L289">
        <v>8</v>
      </c>
      <c r="M289">
        <v>4.8</v>
      </c>
      <c r="N289" t="s">
        <v>19</v>
      </c>
    </row>
    <row r="290" spans="1:14" x14ac:dyDescent="0.3">
      <c r="A290" t="s">
        <v>323</v>
      </c>
      <c r="B290">
        <v>27</v>
      </c>
      <c r="C290" t="s">
        <v>21</v>
      </c>
      <c r="D290" t="s">
        <v>29</v>
      </c>
      <c r="E290">
        <v>1</v>
      </c>
      <c r="F290">
        <v>8.65</v>
      </c>
      <c r="G290">
        <v>2</v>
      </c>
      <c r="H290">
        <v>54.6</v>
      </c>
      <c r="I290" t="s">
        <v>27</v>
      </c>
      <c r="J290" t="s">
        <v>54</v>
      </c>
      <c r="K290">
        <v>4.2</v>
      </c>
      <c r="L290">
        <v>7</v>
      </c>
      <c r="M290">
        <v>7</v>
      </c>
      <c r="N290" t="s">
        <v>24</v>
      </c>
    </row>
    <row r="291" spans="1:14" x14ac:dyDescent="0.3">
      <c r="A291" t="s">
        <v>324</v>
      </c>
      <c r="B291">
        <v>23</v>
      </c>
      <c r="C291" t="s">
        <v>21</v>
      </c>
      <c r="D291" t="s">
        <v>16</v>
      </c>
      <c r="E291">
        <v>1</v>
      </c>
      <c r="F291">
        <v>7.53</v>
      </c>
      <c r="G291">
        <v>2</v>
      </c>
      <c r="H291">
        <v>67.400000000000006</v>
      </c>
      <c r="I291" t="s">
        <v>27</v>
      </c>
      <c r="J291" t="s">
        <v>33</v>
      </c>
      <c r="K291">
        <v>5.9</v>
      </c>
      <c r="L291">
        <v>5</v>
      </c>
      <c r="M291">
        <v>6.8</v>
      </c>
      <c r="N291" t="s">
        <v>19</v>
      </c>
    </row>
    <row r="292" spans="1:14" x14ac:dyDescent="0.3">
      <c r="A292" t="s">
        <v>325</v>
      </c>
      <c r="B292">
        <v>18</v>
      </c>
      <c r="C292" t="s">
        <v>21</v>
      </c>
      <c r="D292" t="s">
        <v>43</v>
      </c>
      <c r="E292">
        <v>3</v>
      </c>
      <c r="F292">
        <v>5.41</v>
      </c>
      <c r="G292">
        <v>6</v>
      </c>
      <c r="H292">
        <v>65</v>
      </c>
      <c r="I292" t="s">
        <v>27</v>
      </c>
      <c r="J292" t="s">
        <v>35</v>
      </c>
      <c r="K292">
        <v>5.2</v>
      </c>
      <c r="L292">
        <v>9</v>
      </c>
      <c r="M292">
        <v>10</v>
      </c>
      <c r="N292" t="s">
        <v>24</v>
      </c>
    </row>
    <row r="293" spans="1:14" x14ac:dyDescent="0.3">
      <c r="A293" t="s">
        <v>326</v>
      </c>
      <c r="B293">
        <v>20</v>
      </c>
      <c r="C293" t="s">
        <v>21</v>
      </c>
      <c r="D293" t="s">
        <v>16</v>
      </c>
      <c r="E293">
        <v>1</v>
      </c>
      <c r="F293">
        <v>9.36</v>
      </c>
      <c r="G293">
        <v>2</v>
      </c>
      <c r="H293">
        <v>77.5</v>
      </c>
      <c r="I293" t="s">
        <v>30</v>
      </c>
      <c r="J293" t="s">
        <v>35</v>
      </c>
      <c r="K293">
        <v>4.5</v>
      </c>
      <c r="L293">
        <v>10</v>
      </c>
      <c r="M293">
        <v>4.5</v>
      </c>
      <c r="N293" t="s">
        <v>24</v>
      </c>
    </row>
    <row r="294" spans="1:14" x14ac:dyDescent="0.3">
      <c r="A294" t="s">
        <v>327</v>
      </c>
      <c r="B294">
        <v>24</v>
      </c>
      <c r="C294" t="s">
        <v>21</v>
      </c>
      <c r="D294" t="s">
        <v>26</v>
      </c>
      <c r="E294">
        <v>2</v>
      </c>
      <c r="F294">
        <v>7.24</v>
      </c>
      <c r="G294">
        <v>4</v>
      </c>
      <c r="H294">
        <v>79.099999999999994</v>
      </c>
      <c r="I294" t="s">
        <v>27</v>
      </c>
      <c r="J294" t="s">
        <v>35</v>
      </c>
      <c r="K294">
        <v>7</v>
      </c>
      <c r="L294">
        <v>8</v>
      </c>
      <c r="M294">
        <v>6.5</v>
      </c>
      <c r="N294" t="s">
        <v>24</v>
      </c>
    </row>
    <row r="295" spans="1:14" x14ac:dyDescent="0.3">
      <c r="A295" t="s">
        <v>328</v>
      </c>
      <c r="B295">
        <v>23</v>
      </c>
      <c r="C295" t="s">
        <v>21</v>
      </c>
      <c r="D295" t="s">
        <v>29</v>
      </c>
      <c r="E295">
        <v>1</v>
      </c>
      <c r="F295">
        <v>6.28</v>
      </c>
      <c r="G295">
        <v>8</v>
      </c>
      <c r="H295">
        <v>72.8</v>
      </c>
      <c r="I295" t="s">
        <v>30</v>
      </c>
      <c r="J295" t="s">
        <v>35</v>
      </c>
      <c r="K295">
        <v>1.5</v>
      </c>
      <c r="L295">
        <v>2</v>
      </c>
      <c r="M295">
        <v>8.4</v>
      </c>
      <c r="N295" t="s">
        <v>19</v>
      </c>
    </row>
    <row r="296" spans="1:14" x14ac:dyDescent="0.3">
      <c r="A296" t="s">
        <v>329</v>
      </c>
      <c r="B296">
        <v>25</v>
      </c>
      <c r="C296" t="s">
        <v>15</v>
      </c>
      <c r="D296" t="s">
        <v>39</v>
      </c>
      <c r="E296">
        <v>2</v>
      </c>
      <c r="F296">
        <v>8.99</v>
      </c>
      <c r="G296">
        <v>4</v>
      </c>
      <c r="H296">
        <v>75.7</v>
      </c>
      <c r="I296" t="s">
        <v>27</v>
      </c>
      <c r="J296" t="s">
        <v>54</v>
      </c>
      <c r="K296">
        <v>2.2999999999999998</v>
      </c>
      <c r="L296">
        <v>6</v>
      </c>
      <c r="M296">
        <v>7</v>
      </c>
      <c r="N296" t="s">
        <v>19</v>
      </c>
    </row>
    <row r="297" spans="1:14" x14ac:dyDescent="0.3">
      <c r="A297" t="s">
        <v>330</v>
      </c>
      <c r="B297">
        <v>20</v>
      </c>
      <c r="C297" t="s">
        <v>21</v>
      </c>
      <c r="D297" t="s">
        <v>22</v>
      </c>
      <c r="E297">
        <v>2</v>
      </c>
      <c r="F297">
        <v>6.58</v>
      </c>
      <c r="G297">
        <v>10</v>
      </c>
      <c r="H297">
        <v>95.5</v>
      </c>
      <c r="I297" t="s">
        <v>30</v>
      </c>
      <c r="J297" t="s">
        <v>18</v>
      </c>
      <c r="K297">
        <v>5.8</v>
      </c>
      <c r="L297">
        <v>6</v>
      </c>
      <c r="M297">
        <v>8.1</v>
      </c>
      <c r="N297" t="s">
        <v>19</v>
      </c>
    </row>
    <row r="298" spans="1:14" x14ac:dyDescent="0.3">
      <c r="A298" t="s">
        <v>331</v>
      </c>
      <c r="B298">
        <v>21</v>
      </c>
      <c r="C298" t="s">
        <v>15</v>
      </c>
      <c r="D298" t="s">
        <v>29</v>
      </c>
      <c r="E298">
        <v>2</v>
      </c>
      <c r="F298">
        <v>9.36</v>
      </c>
      <c r="G298">
        <v>4</v>
      </c>
      <c r="H298">
        <v>78.2</v>
      </c>
      <c r="I298" t="s">
        <v>17</v>
      </c>
      <c r="J298" t="s">
        <v>54</v>
      </c>
      <c r="K298">
        <v>6.4</v>
      </c>
      <c r="L298">
        <v>5</v>
      </c>
      <c r="M298">
        <v>8</v>
      </c>
      <c r="N298" t="s">
        <v>24</v>
      </c>
    </row>
    <row r="299" spans="1:14" x14ac:dyDescent="0.3">
      <c r="A299" t="s">
        <v>332</v>
      </c>
      <c r="B299">
        <v>21</v>
      </c>
      <c r="C299" t="s">
        <v>15</v>
      </c>
      <c r="D299" t="s">
        <v>37</v>
      </c>
      <c r="E299">
        <v>3</v>
      </c>
      <c r="F299">
        <v>8.67</v>
      </c>
      <c r="G299">
        <v>7</v>
      </c>
      <c r="H299">
        <v>90.8</v>
      </c>
      <c r="I299" t="s">
        <v>17</v>
      </c>
      <c r="J299" t="s">
        <v>23</v>
      </c>
      <c r="K299">
        <v>5.9</v>
      </c>
      <c r="L299">
        <v>1</v>
      </c>
      <c r="M299">
        <v>5.3</v>
      </c>
      <c r="N299" t="s">
        <v>24</v>
      </c>
    </row>
    <row r="300" spans="1:14" x14ac:dyDescent="0.3">
      <c r="A300" t="s">
        <v>333</v>
      </c>
      <c r="B300">
        <v>27</v>
      </c>
      <c r="C300" t="s">
        <v>21</v>
      </c>
      <c r="D300" t="s">
        <v>26</v>
      </c>
      <c r="E300">
        <v>1</v>
      </c>
      <c r="F300">
        <v>5.03</v>
      </c>
      <c r="G300">
        <v>2</v>
      </c>
      <c r="H300">
        <v>65.8</v>
      </c>
      <c r="I300" t="s">
        <v>27</v>
      </c>
      <c r="J300" t="s">
        <v>54</v>
      </c>
      <c r="K300">
        <v>6</v>
      </c>
      <c r="L300">
        <v>9</v>
      </c>
      <c r="M300">
        <v>8.3000000000000007</v>
      </c>
      <c r="N300" t="s">
        <v>19</v>
      </c>
    </row>
    <row r="301" spans="1:14" x14ac:dyDescent="0.3">
      <c r="A301" t="s">
        <v>334</v>
      </c>
      <c r="B301">
        <v>17</v>
      </c>
      <c r="C301" t="s">
        <v>15</v>
      </c>
      <c r="D301" t="s">
        <v>39</v>
      </c>
      <c r="E301">
        <v>3</v>
      </c>
      <c r="F301">
        <v>6.64</v>
      </c>
      <c r="G301">
        <v>5</v>
      </c>
      <c r="H301">
        <v>60.9</v>
      </c>
      <c r="I301" t="s">
        <v>27</v>
      </c>
      <c r="J301" t="s">
        <v>23</v>
      </c>
      <c r="K301">
        <v>6</v>
      </c>
      <c r="L301">
        <v>8</v>
      </c>
      <c r="M301">
        <v>8.9</v>
      </c>
      <c r="N301" t="s">
        <v>19</v>
      </c>
    </row>
    <row r="302" spans="1:14" x14ac:dyDescent="0.3">
      <c r="A302" t="s">
        <v>335</v>
      </c>
      <c r="B302">
        <v>18</v>
      </c>
      <c r="C302" t="s">
        <v>21</v>
      </c>
      <c r="D302" t="s">
        <v>22</v>
      </c>
      <c r="E302">
        <v>1</v>
      </c>
      <c r="F302">
        <v>5.45</v>
      </c>
      <c r="G302">
        <v>7</v>
      </c>
      <c r="H302">
        <v>58.5</v>
      </c>
      <c r="I302" t="s">
        <v>30</v>
      </c>
      <c r="J302" t="s">
        <v>35</v>
      </c>
      <c r="K302">
        <v>5.3</v>
      </c>
      <c r="L302">
        <v>7</v>
      </c>
      <c r="M302">
        <v>3.9</v>
      </c>
      <c r="N302" t="s">
        <v>24</v>
      </c>
    </row>
    <row r="303" spans="1:14" x14ac:dyDescent="0.3">
      <c r="A303" t="s">
        <v>336</v>
      </c>
      <c r="B303">
        <v>26</v>
      </c>
      <c r="C303" t="s">
        <v>15</v>
      </c>
      <c r="D303" t="s">
        <v>37</v>
      </c>
      <c r="E303">
        <v>3</v>
      </c>
      <c r="F303">
        <v>6.4</v>
      </c>
      <c r="G303">
        <v>3</v>
      </c>
      <c r="H303">
        <v>99</v>
      </c>
      <c r="I303" t="s">
        <v>17</v>
      </c>
      <c r="J303" t="s">
        <v>54</v>
      </c>
      <c r="K303">
        <v>3.9</v>
      </c>
      <c r="L303">
        <v>6</v>
      </c>
      <c r="M303">
        <v>5.9</v>
      </c>
      <c r="N303" t="s">
        <v>19</v>
      </c>
    </row>
    <row r="304" spans="1:14" x14ac:dyDescent="0.3">
      <c r="A304" t="s">
        <v>337</v>
      </c>
      <c r="B304">
        <v>26</v>
      </c>
      <c r="C304" t="s">
        <v>21</v>
      </c>
      <c r="D304" t="s">
        <v>22</v>
      </c>
      <c r="E304">
        <v>1</v>
      </c>
      <c r="F304">
        <v>4.97</v>
      </c>
      <c r="G304">
        <v>8</v>
      </c>
      <c r="H304">
        <v>76.900000000000006</v>
      </c>
      <c r="I304" t="s">
        <v>17</v>
      </c>
      <c r="J304" t="s">
        <v>35</v>
      </c>
      <c r="K304">
        <v>2</v>
      </c>
      <c r="L304">
        <v>1</v>
      </c>
      <c r="M304">
        <v>6.9</v>
      </c>
      <c r="N304" t="s">
        <v>24</v>
      </c>
    </row>
    <row r="305" spans="1:14" x14ac:dyDescent="0.3">
      <c r="A305" t="s">
        <v>338</v>
      </c>
      <c r="B305">
        <v>23</v>
      </c>
      <c r="C305" t="s">
        <v>21</v>
      </c>
      <c r="D305" t="s">
        <v>43</v>
      </c>
      <c r="E305">
        <v>3</v>
      </c>
      <c r="F305">
        <v>8.17</v>
      </c>
      <c r="G305">
        <v>3</v>
      </c>
      <c r="H305">
        <v>99.3</v>
      </c>
      <c r="I305" t="s">
        <v>17</v>
      </c>
      <c r="J305" t="s">
        <v>33</v>
      </c>
      <c r="K305">
        <v>7.5</v>
      </c>
      <c r="L305">
        <v>9</v>
      </c>
      <c r="M305">
        <v>7.4</v>
      </c>
      <c r="N305" t="s">
        <v>24</v>
      </c>
    </row>
    <row r="306" spans="1:14" x14ac:dyDescent="0.3">
      <c r="A306" t="s">
        <v>339</v>
      </c>
      <c r="B306">
        <v>27</v>
      </c>
      <c r="C306" t="s">
        <v>15</v>
      </c>
      <c r="D306" t="s">
        <v>29</v>
      </c>
      <c r="E306">
        <v>2</v>
      </c>
      <c r="F306">
        <v>5.48</v>
      </c>
      <c r="G306">
        <v>9</v>
      </c>
      <c r="H306">
        <v>61.2</v>
      </c>
      <c r="I306" t="s">
        <v>17</v>
      </c>
      <c r="J306" t="s">
        <v>33</v>
      </c>
      <c r="K306">
        <v>5.7</v>
      </c>
      <c r="L306">
        <v>6</v>
      </c>
      <c r="M306">
        <v>5.8</v>
      </c>
      <c r="N306" t="s">
        <v>19</v>
      </c>
    </row>
    <row r="307" spans="1:14" x14ac:dyDescent="0.3">
      <c r="A307" t="s">
        <v>340</v>
      </c>
      <c r="B307">
        <v>17</v>
      </c>
      <c r="C307" t="s">
        <v>21</v>
      </c>
      <c r="D307" t="s">
        <v>16</v>
      </c>
      <c r="E307">
        <v>2</v>
      </c>
      <c r="F307">
        <v>6.38</v>
      </c>
      <c r="G307">
        <v>7</v>
      </c>
      <c r="H307">
        <v>78.5</v>
      </c>
      <c r="I307" t="s">
        <v>17</v>
      </c>
      <c r="J307" t="s">
        <v>33</v>
      </c>
      <c r="K307">
        <v>3.5</v>
      </c>
      <c r="L307">
        <v>9</v>
      </c>
      <c r="M307">
        <v>9.8000000000000007</v>
      </c>
      <c r="N307" t="s">
        <v>24</v>
      </c>
    </row>
    <row r="308" spans="1:14" x14ac:dyDescent="0.3">
      <c r="A308" t="s">
        <v>341</v>
      </c>
      <c r="B308">
        <v>25</v>
      </c>
      <c r="C308" t="s">
        <v>15</v>
      </c>
      <c r="D308" t="s">
        <v>26</v>
      </c>
      <c r="E308">
        <v>2</v>
      </c>
      <c r="F308">
        <v>9.61</v>
      </c>
      <c r="G308">
        <v>9</v>
      </c>
      <c r="H308">
        <v>86.6</v>
      </c>
      <c r="I308" t="s">
        <v>17</v>
      </c>
      <c r="J308" t="s">
        <v>23</v>
      </c>
      <c r="K308">
        <v>0.2</v>
      </c>
      <c r="L308">
        <v>2</v>
      </c>
      <c r="M308">
        <v>8</v>
      </c>
      <c r="N308" t="s">
        <v>24</v>
      </c>
    </row>
    <row r="309" spans="1:14" x14ac:dyDescent="0.3">
      <c r="A309" t="s">
        <v>342</v>
      </c>
      <c r="B309">
        <v>19</v>
      </c>
      <c r="C309" t="s">
        <v>15</v>
      </c>
      <c r="D309" t="s">
        <v>16</v>
      </c>
      <c r="E309">
        <v>3</v>
      </c>
      <c r="F309">
        <v>5.22</v>
      </c>
      <c r="G309">
        <v>10</v>
      </c>
      <c r="H309">
        <v>59.4</v>
      </c>
      <c r="I309" t="s">
        <v>27</v>
      </c>
      <c r="J309" t="s">
        <v>18</v>
      </c>
      <c r="K309">
        <v>5.6</v>
      </c>
      <c r="L309">
        <v>8</v>
      </c>
      <c r="M309">
        <v>9.4</v>
      </c>
      <c r="N309" t="s">
        <v>24</v>
      </c>
    </row>
    <row r="310" spans="1:14" x14ac:dyDescent="0.3">
      <c r="A310" t="s">
        <v>343</v>
      </c>
      <c r="B310">
        <v>25</v>
      </c>
      <c r="C310" t="s">
        <v>21</v>
      </c>
      <c r="D310" t="s">
        <v>43</v>
      </c>
      <c r="E310">
        <v>1</v>
      </c>
      <c r="F310">
        <v>5.8</v>
      </c>
      <c r="G310">
        <v>4</v>
      </c>
      <c r="H310">
        <v>89.5</v>
      </c>
      <c r="I310" t="s">
        <v>27</v>
      </c>
      <c r="J310" t="s">
        <v>33</v>
      </c>
      <c r="K310">
        <v>0.1</v>
      </c>
      <c r="L310">
        <v>1</v>
      </c>
      <c r="M310">
        <v>7.2</v>
      </c>
      <c r="N310" t="s">
        <v>24</v>
      </c>
    </row>
    <row r="311" spans="1:14" x14ac:dyDescent="0.3">
      <c r="A311" t="s">
        <v>344</v>
      </c>
      <c r="B311">
        <v>27</v>
      </c>
      <c r="C311" t="s">
        <v>15</v>
      </c>
      <c r="D311" t="s">
        <v>39</v>
      </c>
      <c r="E311">
        <v>1</v>
      </c>
      <c r="F311">
        <v>4.6100000000000003</v>
      </c>
      <c r="G311">
        <v>5</v>
      </c>
      <c r="H311">
        <v>84</v>
      </c>
      <c r="I311" t="s">
        <v>17</v>
      </c>
      <c r="J311" t="s">
        <v>18</v>
      </c>
      <c r="K311">
        <v>2.2999999999999998</v>
      </c>
      <c r="L311">
        <v>10</v>
      </c>
      <c r="M311">
        <v>4.2</v>
      </c>
      <c r="N311" t="s">
        <v>24</v>
      </c>
    </row>
    <row r="312" spans="1:14" x14ac:dyDescent="0.3">
      <c r="A312" t="s">
        <v>345</v>
      </c>
      <c r="B312">
        <v>21</v>
      </c>
      <c r="C312" t="s">
        <v>15</v>
      </c>
      <c r="D312" t="s">
        <v>39</v>
      </c>
      <c r="E312">
        <v>3</v>
      </c>
      <c r="F312">
        <v>8.7899999999999991</v>
      </c>
      <c r="G312">
        <v>3</v>
      </c>
      <c r="H312">
        <v>84.3</v>
      </c>
      <c r="I312" t="s">
        <v>30</v>
      </c>
      <c r="J312" t="s">
        <v>33</v>
      </c>
      <c r="K312">
        <v>5.3</v>
      </c>
      <c r="L312">
        <v>5</v>
      </c>
      <c r="M312">
        <v>7.5</v>
      </c>
      <c r="N312" t="s">
        <v>19</v>
      </c>
    </row>
    <row r="313" spans="1:14" x14ac:dyDescent="0.3">
      <c r="A313" t="s">
        <v>346</v>
      </c>
      <c r="B313">
        <v>25</v>
      </c>
      <c r="C313" t="s">
        <v>15</v>
      </c>
      <c r="D313" t="s">
        <v>22</v>
      </c>
      <c r="E313">
        <v>1</v>
      </c>
      <c r="F313">
        <v>9.59</v>
      </c>
      <c r="G313">
        <v>9</v>
      </c>
      <c r="H313">
        <v>95.5</v>
      </c>
      <c r="I313" t="s">
        <v>17</v>
      </c>
      <c r="J313" t="s">
        <v>33</v>
      </c>
      <c r="K313">
        <v>0.9</v>
      </c>
      <c r="L313">
        <v>6</v>
      </c>
      <c r="M313">
        <v>3.8</v>
      </c>
      <c r="N313" t="s">
        <v>24</v>
      </c>
    </row>
    <row r="314" spans="1:14" x14ac:dyDescent="0.3">
      <c r="A314" t="s">
        <v>347</v>
      </c>
      <c r="B314">
        <v>27</v>
      </c>
      <c r="C314" t="s">
        <v>15</v>
      </c>
      <c r="D314" t="s">
        <v>26</v>
      </c>
      <c r="E314">
        <v>1</v>
      </c>
      <c r="F314">
        <v>8.7100000000000009</v>
      </c>
      <c r="G314">
        <v>2</v>
      </c>
      <c r="H314">
        <v>64.3</v>
      </c>
      <c r="I314" t="s">
        <v>17</v>
      </c>
      <c r="J314" t="s">
        <v>23</v>
      </c>
      <c r="K314">
        <v>0.3</v>
      </c>
      <c r="L314">
        <v>6</v>
      </c>
      <c r="M314">
        <v>5.3</v>
      </c>
      <c r="N314" t="s">
        <v>24</v>
      </c>
    </row>
    <row r="315" spans="1:14" x14ac:dyDescent="0.3">
      <c r="A315" t="s">
        <v>348</v>
      </c>
      <c r="B315">
        <v>18</v>
      </c>
      <c r="C315" t="s">
        <v>15</v>
      </c>
      <c r="D315" t="s">
        <v>29</v>
      </c>
      <c r="E315">
        <v>2</v>
      </c>
      <c r="F315">
        <v>6.4</v>
      </c>
      <c r="G315">
        <v>7</v>
      </c>
      <c r="H315">
        <v>75.3</v>
      </c>
      <c r="I315" t="s">
        <v>30</v>
      </c>
      <c r="J315" t="s">
        <v>54</v>
      </c>
      <c r="K315">
        <v>1.7</v>
      </c>
      <c r="L315">
        <v>10</v>
      </c>
      <c r="M315">
        <v>6.3</v>
      </c>
      <c r="N315" t="s">
        <v>24</v>
      </c>
    </row>
    <row r="316" spans="1:14" x14ac:dyDescent="0.3">
      <c r="A316" t="s">
        <v>349</v>
      </c>
      <c r="B316">
        <v>27</v>
      </c>
      <c r="C316" t="s">
        <v>21</v>
      </c>
      <c r="D316" t="s">
        <v>37</v>
      </c>
      <c r="E316">
        <v>1</v>
      </c>
      <c r="F316">
        <v>9.61</v>
      </c>
      <c r="G316">
        <v>9</v>
      </c>
      <c r="H316">
        <v>70.900000000000006</v>
      </c>
      <c r="I316" t="s">
        <v>17</v>
      </c>
      <c r="J316" t="s">
        <v>54</v>
      </c>
      <c r="K316">
        <v>7.3</v>
      </c>
      <c r="L316">
        <v>4</v>
      </c>
      <c r="M316">
        <v>4.5</v>
      </c>
      <c r="N316" t="s">
        <v>24</v>
      </c>
    </row>
    <row r="317" spans="1:14" x14ac:dyDescent="0.3">
      <c r="A317" t="s">
        <v>350</v>
      </c>
      <c r="B317">
        <v>25</v>
      </c>
      <c r="C317" t="s">
        <v>15</v>
      </c>
      <c r="D317" t="s">
        <v>16</v>
      </c>
      <c r="E317">
        <v>3</v>
      </c>
      <c r="F317">
        <v>8.57</v>
      </c>
      <c r="G317">
        <v>8</v>
      </c>
      <c r="H317">
        <v>80.5</v>
      </c>
      <c r="I317" t="s">
        <v>17</v>
      </c>
      <c r="J317" t="s">
        <v>33</v>
      </c>
      <c r="K317">
        <v>7.7</v>
      </c>
      <c r="L317">
        <v>5</v>
      </c>
      <c r="M317">
        <v>7</v>
      </c>
      <c r="N317" t="s">
        <v>19</v>
      </c>
    </row>
    <row r="318" spans="1:14" x14ac:dyDescent="0.3">
      <c r="A318" t="s">
        <v>351</v>
      </c>
      <c r="B318">
        <v>19</v>
      </c>
      <c r="C318" t="s">
        <v>15</v>
      </c>
      <c r="D318" t="s">
        <v>26</v>
      </c>
      <c r="E318">
        <v>2</v>
      </c>
      <c r="F318">
        <v>8.5</v>
      </c>
      <c r="G318">
        <v>10</v>
      </c>
      <c r="H318">
        <v>92.7</v>
      </c>
      <c r="I318" t="s">
        <v>30</v>
      </c>
      <c r="J318" t="s">
        <v>23</v>
      </c>
      <c r="K318">
        <v>6.7</v>
      </c>
      <c r="L318">
        <v>2</v>
      </c>
      <c r="M318">
        <v>6.7</v>
      </c>
      <c r="N318" t="s">
        <v>19</v>
      </c>
    </row>
    <row r="319" spans="1:14" x14ac:dyDescent="0.3">
      <c r="A319" t="s">
        <v>352</v>
      </c>
      <c r="B319">
        <v>20</v>
      </c>
      <c r="C319" t="s">
        <v>15</v>
      </c>
      <c r="D319" t="s">
        <v>29</v>
      </c>
      <c r="E319">
        <v>1</v>
      </c>
      <c r="F319">
        <v>7.96</v>
      </c>
      <c r="G319">
        <v>2</v>
      </c>
      <c r="H319">
        <v>93.1</v>
      </c>
      <c r="I319" t="s">
        <v>30</v>
      </c>
      <c r="J319" t="s">
        <v>33</v>
      </c>
      <c r="K319">
        <v>6.5</v>
      </c>
      <c r="L319">
        <v>8</v>
      </c>
      <c r="M319">
        <v>6.8</v>
      </c>
      <c r="N319" t="s">
        <v>24</v>
      </c>
    </row>
    <row r="320" spans="1:14" x14ac:dyDescent="0.3">
      <c r="A320" t="s">
        <v>353</v>
      </c>
      <c r="B320">
        <v>20</v>
      </c>
      <c r="C320" t="s">
        <v>21</v>
      </c>
      <c r="D320" t="s">
        <v>26</v>
      </c>
      <c r="E320">
        <v>2</v>
      </c>
      <c r="F320">
        <v>5.82</v>
      </c>
      <c r="G320">
        <v>4</v>
      </c>
      <c r="H320">
        <v>78</v>
      </c>
      <c r="I320" t="s">
        <v>27</v>
      </c>
      <c r="J320" t="s">
        <v>35</v>
      </c>
      <c r="K320">
        <v>8</v>
      </c>
      <c r="L320">
        <v>2</v>
      </c>
      <c r="M320">
        <v>4.4000000000000004</v>
      </c>
      <c r="N320" t="s">
        <v>24</v>
      </c>
    </row>
    <row r="321" spans="1:14" x14ac:dyDescent="0.3">
      <c r="A321" t="s">
        <v>354</v>
      </c>
      <c r="B321">
        <v>17</v>
      </c>
      <c r="C321" t="s">
        <v>21</v>
      </c>
      <c r="D321" t="s">
        <v>39</v>
      </c>
      <c r="E321">
        <v>1</v>
      </c>
      <c r="F321">
        <v>7.91</v>
      </c>
      <c r="G321">
        <v>4</v>
      </c>
      <c r="H321">
        <v>96.3</v>
      </c>
      <c r="I321" t="s">
        <v>30</v>
      </c>
      <c r="J321" t="s">
        <v>18</v>
      </c>
      <c r="K321">
        <v>6.3</v>
      </c>
      <c r="L321">
        <v>8</v>
      </c>
      <c r="M321">
        <v>8.4</v>
      </c>
      <c r="N321" t="s">
        <v>19</v>
      </c>
    </row>
    <row r="322" spans="1:14" x14ac:dyDescent="0.3">
      <c r="A322" t="s">
        <v>355</v>
      </c>
      <c r="B322">
        <v>22</v>
      </c>
      <c r="C322" t="s">
        <v>15</v>
      </c>
      <c r="D322" t="s">
        <v>32</v>
      </c>
      <c r="E322">
        <v>2</v>
      </c>
      <c r="F322">
        <v>5.99</v>
      </c>
      <c r="G322">
        <v>3</v>
      </c>
      <c r="H322">
        <v>63.8</v>
      </c>
      <c r="I322" t="s">
        <v>27</v>
      </c>
      <c r="J322" t="s">
        <v>35</v>
      </c>
      <c r="K322">
        <v>6.4</v>
      </c>
      <c r="L322">
        <v>6</v>
      </c>
      <c r="M322">
        <v>6.4</v>
      </c>
      <c r="N322" t="s">
        <v>24</v>
      </c>
    </row>
    <row r="323" spans="1:14" x14ac:dyDescent="0.3">
      <c r="A323" t="s">
        <v>356</v>
      </c>
      <c r="B323">
        <v>21</v>
      </c>
      <c r="C323" t="s">
        <v>15</v>
      </c>
      <c r="D323" t="s">
        <v>32</v>
      </c>
      <c r="E323">
        <v>3</v>
      </c>
      <c r="F323">
        <v>4.55</v>
      </c>
      <c r="G323">
        <v>4</v>
      </c>
      <c r="H323">
        <v>64.3</v>
      </c>
      <c r="I323" t="s">
        <v>30</v>
      </c>
      <c r="J323" t="s">
        <v>35</v>
      </c>
      <c r="K323">
        <v>2.1</v>
      </c>
      <c r="L323">
        <v>9</v>
      </c>
      <c r="M323">
        <v>7.3</v>
      </c>
      <c r="N323" t="s">
        <v>24</v>
      </c>
    </row>
    <row r="324" spans="1:14" x14ac:dyDescent="0.3">
      <c r="A324" t="s">
        <v>357</v>
      </c>
      <c r="B324">
        <v>18</v>
      </c>
      <c r="C324" t="s">
        <v>21</v>
      </c>
      <c r="D324" t="s">
        <v>37</v>
      </c>
      <c r="E324">
        <v>2</v>
      </c>
      <c r="F324">
        <v>6.86</v>
      </c>
      <c r="G324">
        <v>2</v>
      </c>
      <c r="H324">
        <v>91.6</v>
      </c>
      <c r="I324" t="s">
        <v>30</v>
      </c>
      <c r="J324" t="s">
        <v>18</v>
      </c>
      <c r="K324">
        <v>7.1</v>
      </c>
      <c r="L324">
        <v>5</v>
      </c>
      <c r="M324">
        <v>6.6</v>
      </c>
      <c r="N324" t="s">
        <v>19</v>
      </c>
    </row>
    <row r="325" spans="1:14" x14ac:dyDescent="0.3">
      <c r="A325" t="s">
        <v>358</v>
      </c>
      <c r="B325">
        <v>21</v>
      </c>
      <c r="C325" t="s">
        <v>21</v>
      </c>
      <c r="D325" t="s">
        <v>16</v>
      </c>
      <c r="E325">
        <v>3</v>
      </c>
      <c r="F325">
        <v>5.83</v>
      </c>
      <c r="G325">
        <v>8</v>
      </c>
      <c r="H325">
        <v>51.4</v>
      </c>
      <c r="I325" t="s">
        <v>30</v>
      </c>
      <c r="J325" t="s">
        <v>23</v>
      </c>
      <c r="K325">
        <v>1</v>
      </c>
      <c r="L325">
        <v>2</v>
      </c>
      <c r="M325">
        <v>6.3</v>
      </c>
      <c r="N325" t="s">
        <v>24</v>
      </c>
    </row>
    <row r="326" spans="1:14" x14ac:dyDescent="0.3">
      <c r="A326" t="s">
        <v>359</v>
      </c>
      <c r="B326">
        <v>27</v>
      </c>
      <c r="C326" t="s">
        <v>21</v>
      </c>
      <c r="D326" t="s">
        <v>48</v>
      </c>
      <c r="E326">
        <v>1</v>
      </c>
      <c r="F326">
        <v>7.45</v>
      </c>
      <c r="G326">
        <v>3</v>
      </c>
      <c r="H326">
        <v>61.2</v>
      </c>
      <c r="I326" t="s">
        <v>17</v>
      </c>
      <c r="J326" t="s">
        <v>35</v>
      </c>
      <c r="K326">
        <v>4.7</v>
      </c>
      <c r="L326">
        <v>8</v>
      </c>
      <c r="M326">
        <v>6.9</v>
      </c>
      <c r="N326" t="s">
        <v>19</v>
      </c>
    </row>
    <row r="327" spans="1:14" x14ac:dyDescent="0.3">
      <c r="A327" t="s">
        <v>360</v>
      </c>
      <c r="B327">
        <v>17</v>
      </c>
      <c r="C327" t="s">
        <v>21</v>
      </c>
      <c r="D327" t="s">
        <v>16</v>
      </c>
      <c r="E327">
        <v>3</v>
      </c>
      <c r="F327">
        <v>7.98</v>
      </c>
      <c r="G327">
        <v>10</v>
      </c>
      <c r="H327">
        <v>61.6</v>
      </c>
      <c r="I327" t="s">
        <v>30</v>
      </c>
      <c r="J327" t="s">
        <v>33</v>
      </c>
      <c r="K327">
        <v>3.8</v>
      </c>
      <c r="L327">
        <v>4</v>
      </c>
      <c r="M327">
        <v>5.9</v>
      </c>
      <c r="N327" t="s">
        <v>24</v>
      </c>
    </row>
    <row r="328" spans="1:14" x14ac:dyDescent="0.3">
      <c r="A328" t="s">
        <v>361</v>
      </c>
      <c r="B328">
        <v>23</v>
      </c>
      <c r="C328" t="s">
        <v>21</v>
      </c>
      <c r="D328" t="s">
        <v>32</v>
      </c>
      <c r="E328">
        <v>1</v>
      </c>
      <c r="F328">
        <v>6.55</v>
      </c>
      <c r="G328">
        <v>7</v>
      </c>
      <c r="H328">
        <v>82.3</v>
      </c>
      <c r="I328" t="s">
        <v>17</v>
      </c>
      <c r="J328" t="s">
        <v>35</v>
      </c>
      <c r="K328">
        <v>4.5</v>
      </c>
      <c r="L328">
        <v>1</v>
      </c>
      <c r="M328">
        <v>9.8000000000000007</v>
      </c>
      <c r="N328" t="s">
        <v>19</v>
      </c>
    </row>
    <row r="329" spans="1:14" x14ac:dyDescent="0.3">
      <c r="A329" t="s">
        <v>362</v>
      </c>
      <c r="B329">
        <v>27</v>
      </c>
      <c r="C329" t="s">
        <v>21</v>
      </c>
      <c r="D329" t="s">
        <v>37</v>
      </c>
      <c r="E329">
        <v>3</v>
      </c>
      <c r="F329">
        <v>8.67</v>
      </c>
      <c r="G329">
        <v>7</v>
      </c>
      <c r="H329">
        <v>59.1</v>
      </c>
      <c r="I329" t="s">
        <v>17</v>
      </c>
      <c r="J329" t="s">
        <v>54</v>
      </c>
      <c r="K329">
        <v>4.8</v>
      </c>
      <c r="L329">
        <v>4</v>
      </c>
      <c r="M329">
        <v>8.6</v>
      </c>
      <c r="N329" t="s">
        <v>24</v>
      </c>
    </row>
    <row r="330" spans="1:14" x14ac:dyDescent="0.3">
      <c r="A330" t="s">
        <v>363</v>
      </c>
      <c r="B330">
        <v>18</v>
      </c>
      <c r="C330" t="s">
        <v>21</v>
      </c>
      <c r="D330" t="s">
        <v>39</v>
      </c>
      <c r="E330">
        <v>1</v>
      </c>
      <c r="F330">
        <v>8.69</v>
      </c>
      <c r="G330">
        <v>3</v>
      </c>
      <c r="H330">
        <v>73.099999999999994</v>
      </c>
      <c r="I330" t="s">
        <v>17</v>
      </c>
      <c r="J330" t="s">
        <v>23</v>
      </c>
      <c r="K330">
        <v>6.8</v>
      </c>
      <c r="L330">
        <v>7</v>
      </c>
      <c r="M330">
        <v>7</v>
      </c>
      <c r="N330" t="s">
        <v>19</v>
      </c>
    </row>
    <row r="331" spans="1:14" x14ac:dyDescent="0.3">
      <c r="A331" t="s">
        <v>364</v>
      </c>
      <c r="B331">
        <v>22</v>
      </c>
      <c r="C331" t="s">
        <v>15</v>
      </c>
      <c r="D331" t="s">
        <v>48</v>
      </c>
      <c r="E331">
        <v>1</v>
      </c>
      <c r="F331">
        <v>4.8</v>
      </c>
      <c r="G331">
        <v>8</v>
      </c>
      <c r="H331">
        <v>88.2</v>
      </c>
      <c r="I331" t="s">
        <v>30</v>
      </c>
      <c r="J331" t="s">
        <v>18</v>
      </c>
      <c r="K331">
        <v>2.8</v>
      </c>
      <c r="L331">
        <v>4</v>
      </c>
      <c r="M331">
        <v>3.9</v>
      </c>
      <c r="N331" t="s">
        <v>24</v>
      </c>
    </row>
    <row r="332" spans="1:14" x14ac:dyDescent="0.3">
      <c r="A332" t="s">
        <v>365</v>
      </c>
      <c r="B332">
        <v>22</v>
      </c>
      <c r="C332" t="s">
        <v>21</v>
      </c>
      <c r="D332" t="s">
        <v>26</v>
      </c>
      <c r="E332">
        <v>2</v>
      </c>
      <c r="F332">
        <v>6.06</v>
      </c>
      <c r="G332">
        <v>8</v>
      </c>
      <c r="H332">
        <v>54.3</v>
      </c>
      <c r="I332" t="s">
        <v>27</v>
      </c>
      <c r="J332" t="s">
        <v>33</v>
      </c>
      <c r="K332">
        <v>3.5</v>
      </c>
      <c r="L332">
        <v>3</v>
      </c>
      <c r="M332">
        <v>8.4</v>
      </c>
      <c r="N332" t="s">
        <v>19</v>
      </c>
    </row>
    <row r="333" spans="1:14" x14ac:dyDescent="0.3">
      <c r="A333" t="s">
        <v>366</v>
      </c>
      <c r="B333">
        <v>18</v>
      </c>
      <c r="C333" t="s">
        <v>15</v>
      </c>
      <c r="D333" t="s">
        <v>16</v>
      </c>
      <c r="E333">
        <v>3</v>
      </c>
      <c r="F333">
        <v>9.5500000000000007</v>
      </c>
      <c r="G333">
        <v>7</v>
      </c>
      <c r="H333">
        <v>62.8</v>
      </c>
      <c r="I333" t="s">
        <v>30</v>
      </c>
      <c r="J333" t="s">
        <v>35</v>
      </c>
      <c r="K333">
        <v>6.2</v>
      </c>
      <c r="L333">
        <v>4</v>
      </c>
      <c r="M333">
        <v>8.8000000000000007</v>
      </c>
      <c r="N333" t="s">
        <v>24</v>
      </c>
    </row>
    <row r="334" spans="1:14" x14ac:dyDescent="0.3">
      <c r="A334" t="s">
        <v>367</v>
      </c>
      <c r="B334">
        <v>22</v>
      </c>
      <c r="C334" t="s">
        <v>21</v>
      </c>
      <c r="D334" t="s">
        <v>26</v>
      </c>
      <c r="E334">
        <v>1</v>
      </c>
      <c r="F334">
        <v>6.71</v>
      </c>
      <c r="G334">
        <v>7</v>
      </c>
      <c r="H334">
        <v>64.400000000000006</v>
      </c>
      <c r="I334" t="s">
        <v>30</v>
      </c>
      <c r="J334" t="s">
        <v>33</v>
      </c>
      <c r="K334">
        <v>1.4</v>
      </c>
      <c r="L334">
        <v>7</v>
      </c>
      <c r="M334">
        <v>8</v>
      </c>
      <c r="N334" t="s">
        <v>19</v>
      </c>
    </row>
    <row r="335" spans="1:14" x14ac:dyDescent="0.3">
      <c r="A335" t="s">
        <v>368</v>
      </c>
      <c r="B335">
        <v>20</v>
      </c>
      <c r="C335" t="s">
        <v>15</v>
      </c>
      <c r="D335" t="s">
        <v>39</v>
      </c>
      <c r="E335">
        <v>1</v>
      </c>
      <c r="F335">
        <v>9.91</v>
      </c>
      <c r="G335">
        <v>3</v>
      </c>
      <c r="H335">
        <v>73.599999999999994</v>
      </c>
      <c r="I335" t="s">
        <v>17</v>
      </c>
      <c r="J335" t="s">
        <v>35</v>
      </c>
      <c r="K335">
        <v>4</v>
      </c>
      <c r="L335">
        <v>10</v>
      </c>
      <c r="M335">
        <v>6.4</v>
      </c>
      <c r="N335" t="s">
        <v>24</v>
      </c>
    </row>
    <row r="336" spans="1:14" x14ac:dyDescent="0.3">
      <c r="A336" t="s">
        <v>369</v>
      </c>
      <c r="B336">
        <v>22</v>
      </c>
      <c r="C336" t="s">
        <v>21</v>
      </c>
      <c r="D336" t="s">
        <v>43</v>
      </c>
      <c r="E336">
        <v>2</v>
      </c>
      <c r="F336">
        <v>7.77</v>
      </c>
      <c r="G336">
        <v>2</v>
      </c>
      <c r="H336">
        <v>79.099999999999994</v>
      </c>
      <c r="I336" t="s">
        <v>30</v>
      </c>
      <c r="J336" t="s">
        <v>35</v>
      </c>
      <c r="K336">
        <v>6.2</v>
      </c>
      <c r="L336">
        <v>5</v>
      </c>
      <c r="M336">
        <v>6.9</v>
      </c>
      <c r="N336" t="s">
        <v>19</v>
      </c>
    </row>
    <row r="337" spans="1:14" x14ac:dyDescent="0.3">
      <c r="A337" t="s">
        <v>370</v>
      </c>
      <c r="B337">
        <v>25</v>
      </c>
      <c r="C337" t="s">
        <v>15</v>
      </c>
      <c r="D337" t="s">
        <v>37</v>
      </c>
      <c r="E337">
        <v>3</v>
      </c>
      <c r="F337">
        <v>8.4</v>
      </c>
      <c r="G337">
        <v>7</v>
      </c>
      <c r="H337">
        <v>67.8</v>
      </c>
      <c r="I337" t="s">
        <v>27</v>
      </c>
      <c r="J337" t="s">
        <v>54</v>
      </c>
      <c r="K337">
        <v>3.6</v>
      </c>
      <c r="L337">
        <v>5</v>
      </c>
      <c r="M337">
        <v>6</v>
      </c>
      <c r="N337" t="s">
        <v>24</v>
      </c>
    </row>
    <row r="338" spans="1:14" x14ac:dyDescent="0.3">
      <c r="A338" t="s">
        <v>371</v>
      </c>
      <c r="B338">
        <v>26</v>
      </c>
      <c r="C338" t="s">
        <v>21</v>
      </c>
      <c r="D338" t="s">
        <v>26</v>
      </c>
      <c r="E338">
        <v>2</v>
      </c>
      <c r="F338">
        <v>6.51</v>
      </c>
      <c r="G338">
        <v>10</v>
      </c>
      <c r="H338">
        <v>64</v>
      </c>
      <c r="I338" t="s">
        <v>17</v>
      </c>
      <c r="J338" t="s">
        <v>23</v>
      </c>
      <c r="K338">
        <v>0.4</v>
      </c>
      <c r="L338">
        <v>8</v>
      </c>
      <c r="M338">
        <v>8.9</v>
      </c>
      <c r="N338" t="s">
        <v>19</v>
      </c>
    </row>
    <row r="339" spans="1:14" x14ac:dyDescent="0.3">
      <c r="A339" t="s">
        <v>372</v>
      </c>
      <c r="B339">
        <v>20</v>
      </c>
      <c r="C339" t="s">
        <v>21</v>
      </c>
      <c r="D339" t="s">
        <v>22</v>
      </c>
      <c r="E339">
        <v>1</v>
      </c>
      <c r="F339">
        <v>7.15</v>
      </c>
      <c r="G339">
        <v>4</v>
      </c>
      <c r="H339">
        <v>58.1</v>
      </c>
      <c r="I339" t="s">
        <v>27</v>
      </c>
      <c r="J339" t="s">
        <v>18</v>
      </c>
      <c r="K339">
        <v>3.3</v>
      </c>
      <c r="L339">
        <v>1</v>
      </c>
      <c r="M339">
        <v>7.8</v>
      </c>
      <c r="N339" t="s">
        <v>19</v>
      </c>
    </row>
    <row r="340" spans="1:14" x14ac:dyDescent="0.3">
      <c r="A340" t="s">
        <v>373</v>
      </c>
      <c r="B340">
        <v>23</v>
      </c>
      <c r="C340" t="s">
        <v>15</v>
      </c>
      <c r="D340" t="s">
        <v>43</v>
      </c>
      <c r="E340">
        <v>1</v>
      </c>
      <c r="F340">
        <v>4.87</v>
      </c>
      <c r="G340">
        <v>3</v>
      </c>
      <c r="H340">
        <v>93.9</v>
      </c>
      <c r="I340" t="s">
        <v>27</v>
      </c>
      <c r="J340" t="s">
        <v>18</v>
      </c>
      <c r="K340">
        <v>2.2000000000000002</v>
      </c>
      <c r="L340">
        <v>5</v>
      </c>
      <c r="M340">
        <v>7.1</v>
      </c>
      <c r="N340" t="s">
        <v>19</v>
      </c>
    </row>
    <row r="341" spans="1:14" x14ac:dyDescent="0.3">
      <c r="A341" t="s">
        <v>374</v>
      </c>
      <c r="B341">
        <v>18</v>
      </c>
      <c r="C341" t="s">
        <v>21</v>
      </c>
      <c r="D341" t="s">
        <v>37</v>
      </c>
      <c r="E341">
        <v>2</v>
      </c>
      <c r="F341">
        <v>6.24</v>
      </c>
      <c r="G341">
        <v>10</v>
      </c>
      <c r="H341">
        <v>99.2</v>
      </c>
      <c r="I341" t="s">
        <v>27</v>
      </c>
      <c r="J341" t="s">
        <v>54</v>
      </c>
      <c r="K341">
        <v>2.6</v>
      </c>
      <c r="L341">
        <v>6</v>
      </c>
      <c r="M341">
        <v>8</v>
      </c>
      <c r="N341" t="s">
        <v>19</v>
      </c>
    </row>
    <row r="342" spans="1:14" x14ac:dyDescent="0.3">
      <c r="A342" t="s">
        <v>375</v>
      </c>
      <c r="B342">
        <v>20</v>
      </c>
      <c r="C342" t="s">
        <v>15</v>
      </c>
      <c r="D342" t="s">
        <v>32</v>
      </c>
      <c r="E342">
        <v>3</v>
      </c>
      <c r="F342">
        <v>9.41</v>
      </c>
      <c r="G342">
        <v>7</v>
      </c>
      <c r="H342">
        <v>55.2</v>
      </c>
      <c r="I342" t="s">
        <v>17</v>
      </c>
      <c r="J342" t="s">
        <v>54</v>
      </c>
      <c r="K342">
        <v>4.5</v>
      </c>
      <c r="L342">
        <v>1</v>
      </c>
      <c r="M342">
        <v>5.3</v>
      </c>
      <c r="N342" t="s">
        <v>24</v>
      </c>
    </row>
    <row r="343" spans="1:14" x14ac:dyDescent="0.3">
      <c r="A343" t="s">
        <v>376</v>
      </c>
      <c r="B343">
        <v>26</v>
      </c>
      <c r="C343" t="s">
        <v>15</v>
      </c>
      <c r="D343" t="s">
        <v>32</v>
      </c>
      <c r="E343">
        <v>1</v>
      </c>
      <c r="F343">
        <v>5.23</v>
      </c>
      <c r="G343">
        <v>3</v>
      </c>
      <c r="H343">
        <v>56.5</v>
      </c>
      <c r="I343" t="s">
        <v>30</v>
      </c>
      <c r="J343" t="s">
        <v>35</v>
      </c>
      <c r="K343">
        <v>5.4</v>
      </c>
      <c r="L343">
        <v>9</v>
      </c>
      <c r="M343">
        <v>8.4</v>
      </c>
      <c r="N343" t="s">
        <v>19</v>
      </c>
    </row>
    <row r="344" spans="1:14" x14ac:dyDescent="0.3">
      <c r="A344" t="s">
        <v>377</v>
      </c>
      <c r="B344">
        <v>20</v>
      </c>
      <c r="C344" t="s">
        <v>15</v>
      </c>
      <c r="D344" t="s">
        <v>43</v>
      </c>
      <c r="E344">
        <v>1</v>
      </c>
      <c r="F344">
        <v>7.77</v>
      </c>
      <c r="G344">
        <v>9</v>
      </c>
      <c r="H344">
        <v>97.3</v>
      </c>
      <c r="I344" t="s">
        <v>17</v>
      </c>
      <c r="J344" t="s">
        <v>35</v>
      </c>
      <c r="K344">
        <v>6.7</v>
      </c>
      <c r="L344">
        <v>4</v>
      </c>
      <c r="M344">
        <v>8.6999999999999993</v>
      </c>
      <c r="N344" t="s">
        <v>19</v>
      </c>
    </row>
    <row r="345" spans="1:14" x14ac:dyDescent="0.3">
      <c r="A345" t="s">
        <v>378</v>
      </c>
      <c r="B345">
        <v>27</v>
      </c>
      <c r="C345" t="s">
        <v>21</v>
      </c>
      <c r="D345" t="s">
        <v>16</v>
      </c>
      <c r="E345">
        <v>3</v>
      </c>
      <c r="F345">
        <v>7.28</v>
      </c>
      <c r="G345">
        <v>6</v>
      </c>
      <c r="H345">
        <v>88.1</v>
      </c>
      <c r="I345" t="s">
        <v>27</v>
      </c>
      <c r="J345" t="s">
        <v>23</v>
      </c>
      <c r="K345">
        <v>4.8</v>
      </c>
      <c r="L345">
        <v>9</v>
      </c>
      <c r="M345">
        <v>8.4</v>
      </c>
      <c r="N345" t="s">
        <v>19</v>
      </c>
    </row>
    <row r="346" spans="1:14" x14ac:dyDescent="0.3">
      <c r="A346" t="s">
        <v>379</v>
      </c>
      <c r="B346">
        <v>22</v>
      </c>
      <c r="C346" t="s">
        <v>21</v>
      </c>
      <c r="D346" t="s">
        <v>43</v>
      </c>
      <c r="E346">
        <v>3</v>
      </c>
      <c r="F346">
        <v>4.46</v>
      </c>
      <c r="G346">
        <v>7</v>
      </c>
      <c r="H346">
        <v>91.7</v>
      </c>
      <c r="I346" t="s">
        <v>30</v>
      </c>
      <c r="J346" t="s">
        <v>23</v>
      </c>
      <c r="K346">
        <v>7.6</v>
      </c>
      <c r="L346">
        <v>4</v>
      </c>
      <c r="M346">
        <v>8.8000000000000007</v>
      </c>
      <c r="N346" t="s">
        <v>24</v>
      </c>
    </row>
    <row r="347" spans="1:14" x14ac:dyDescent="0.3">
      <c r="A347" t="s">
        <v>380</v>
      </c>
      <c r="B347">
        <v>18</v>
      </c>
      <c r="C347" t="s">
        <v>15</v>
      </c>
      <c r="D347" t="s">
        <v>48</v>
      </c>
      <c r="E347">
        <v>2</v>
      </c>
      <c r="F347">
        <v>4.04</v>
      </c>
      <c r="G347">
        <v>7</v>
      </c>
      <c r="H347">
        <v>82</v>
      </c>
      <c r="I347" t="s">
        <v>17</v>
      </c>
      <c r="J347" t="s">
        <v>54</v>
      </c>
      <c r="K347">
        <v>1.4</v>
      </c>
      <c r="L347">
        <v>6</v>
      </c>
      <c r="M347">
        <v>7.8</v>
      </c>
      <c r="N347" t="s">
        <v>24</v>
      </c>
    </row>
    <row r="348" spans="1:14" x14ac:dyDescent="0.3">
      <c r="A348" t="s">
        <v>381</v>
      </c>
      <c r="B348">
        <v>21</v>
      </c>
      <c r="C348" t="s">
        <v>21</v>
      </c>
      <c r="D348" t="s">
        <v>48</v>
      </c>
      <c r="E348">
        <v>2</v>
      </c>
      <c r="F348">
        <v>6.23</v>
      </c>
      <c r="G348">
        <v>10</v>
      </c>
      <c r="H348">
        <v>58.5</v>
      </c>
      <c r="I348" t="s">
        <v>17</v>
      </c>
      <c r="J348" t="s">
        <v>35</v>
      </c>
      <c r="K348">
        <v>6.9</v>
      </c>
      <c r="L348">
        <v>8</v>
      </c>
      <c r="M348">
        <v>5.6</v>
      </c>
      <c r="N348" t="s">
        <v>24</v>
      </c>
    </row>
    <row r="349" spans="1:14" x14ac:dyDescent="0.3">
      <c r="A349" t="s">
        <v>382</v>
      </c>
      <c r="B349">
        <v>25</v>
      </c>
      <c r="C349" t="s">
        <v>15</v>
      </c>
      <c r="D349" t="s">
        <v>16</v>
      </c>
      <c r="E349">
        <v>2</v>
      </c>
      <c r="F349">
        <v>9.24</v>
      </c>
      <c r="G349">
        <v>7</v>
      </c>
      <c r="H349">
        <v>88.8</v>
      </c>
      <c r="I349" t="s">
        <v>27</v>
      </c>
      <c r="J349" t="s">
        <v>18</v>
      </c>
      <c r="K349">
        <v>2.2999999999999998</v>
      </c>
      <c r="L349">
        <v>2</v>
      </c>
      <c r="M349">
        <v>5.5</v>
      </c>
      <c r="N349" t="s">
        <v>24</v>
      </c>
    </row>
    <row r="350" spans="1:14" x14ac:dyDescent="0.3">
      <c r="A350" t="s">
        <v>383</v>
      </c>
      <c r="B350">
        <v>17</v>
      </c>
      <c r="C350" t="s">
        <v>21</v>
      </c>
      <c r="D350" t="s">
        <v>22</v>
      </c>
      <c r="E350">
        <v>2</v>
      </c>
      <c r="F350">
        <v>6.12</v>
      </c>
      <c r="G350">
        <v>9</v>
      </c>
      <c r="H350">
        <v>64.3</v>
      </c>
      <c r="I350" t="s">
        <v>27</v>
      </c>
      <c r="J350" t="s">
        <v>54</v>
      </c>
      <c r="K350">
        <v>8.4</v>
      </c>
      <c r="L350">
        <v>4</v>
      </c>
      <c r="M350">
        <v>7.2</v>
      </c>
      <c r="N350" t="s">
        <v>24</v>
      </c>
    </row>
    <row r="351" spans="1:14" x14ac:dyDescent="0.3">
      <c r="A351" t="s">
        <v>384</v>
      </c>
      <c r="B351">
        <v>27</v>
      </c>
      <c r="C351" t="s">
        <v>15</v>
      </c>
      <c r="D351" t="s">
        <v>43</v>
      </c>
      <c r="E351">
        <v>1</v>
      </c>
      <c r="F351">
        <v>4.62</v>
      </c>
      <c r="G351">
        <v>8</v>
      </c>
      <c r="H351">
        <v>94</v>
      </c>
      <c r="I351" t="s">
        <v>17</v>
      </c>
      <c r="J351" t="s">
        <v>33</v>
      </c>
      <c r="K351">
        <v>2.1</v>
      </c>
      <c r="L351">
        <v>2</v>
      </c>
      <c r="M351">
        <v>6</v>
      </c>
      <c r="N351" t="s">
        <v>24</v>
      </c>
    </row>
    <row r="352" spans="1:14" x14ac:dyDescent="0.3">
      <c r="A352" t="s">
        <v>385</v>
      </c>
      <c r="B352">
        <v>19</v>
      </c>
      <c r="C352" t="s">
        <v>15</v>
      </c>
      <c r="D352" t="s">
        <v>43</v>
      </c>
      <c r="E352">
        <v>2</v>
      </c>
      <c r="F352">
        <v>7.5</v>
      </c>
      <c r="G352">
        <v>9</v>
      </c>
      <c r="H352">
        <v>75.099999999999994</v>
      </c>
      <c r="I352" t="s">
        <v>30</v>
      </c>
      <c r="J352" t="s">
        <v>54</v>
      </c>
      <c r="K352">
        <v>4</v>
      </c>
      <c r="L352">
        <v>10</v>
      </c>
      <c r="M352">
        <v>3.7</v>
      </c>
      <c r="N352" t="s">
        <v>19</v>
      </c>
    </row>
    <row r="353" spans="1:14" x14ac:dyDescent="0.3">
      <c r="A353" t="s">
        <v>386</v>
      </c>
      <c r="B353">
        <v>23</v>
      </c>
      <c r="C353" t="s">
        <v>21</v>
      </c>
      <c r="D353" t="s">
        <v>43</v>
      </c>
      <c r="E353">
        <v>1</v>
      </c>
      <c r="F353">
        <v>8.86</v>
      </c>
      <c r="G353">
        <v>7</v>
      </c>
      <c r="H353">
        <v>95.9</v>
      </c>
      <c r="I353" t="s">
        <v>30</v>
      </c>
      <c r="J353" t="s">
        <v>54</v>
      </c>
      <c r="K353">
        <v>0.1</v>
      </c>
      <c r="L353">
        <v>7</v>
      </c>
      <c r="M353">
        <v>9</v>
      </c>
      <c r="N353" t="s">
        <v>19</v>
      </c>
    </row>
    <row r="354" spans="1:14" x14ac:dyDescent="0.3">
      <c r="A354" t="s">
        <v>387</v>
      </c>
      <c r="B354">
        <v>26</v>
      </c>
      <c r="C354" t="s">
        <v>21</v>
      </c>
      <c r="D354" t="s">
        <v>39</v>
      </c>
      <c r="E354">
        <v>1</v>
      </c>
      <c r="F354">
        <v>4.17</v>
      </c>
      <c r="G354">
        <v>9</v>
      </c>
      <c r="H354">
        <v>92.5</v>
      </c>
      <c r="I354" t="s">
        <v>27</v>
      </c>
      <c r="J354" t="s">
        <v>33</v>
      </c>
      <c r="K354">
        <v>4.2</v>
      </c>
      <c r="L354">
        <v>10</v>
      </c>
      <c r="M354">
        <v>4</v>
      </c>
      <c r="N354" t="s">
        <v>19</v>
      </c>
    </row>
    <row r="355" spans="1:14" x14ac:dyDescent="0.3">
      <c r="A355" t="s">
        <v>388</v>
      </c>
      <c r="B355">
        <v>18</v>
      </c>
      <c r="C355" t="s">
        <v>21</v>
      </c>
      <c r="D355" t="s">
        <v>43</v>
      </c>
      <c r="E355">
        <v>1</v>
      </c>
      <c r="F355">
        <v>9.81</v>
      </c>
      <c r="G355">
        <v>4</v>
      </c>
      <c r="H355">
        <v>58.1</v>
      </c>
      <c r="I355" t="s">
        <v>27</v>
      </c>
      <c r="J355" t="s">
        <v>35</v>
      </c>
      <c r="K355">
        <v>2.2999999999999998</v>
      </c>
      <c r="L355">
        <v>3</v>
      </c>
      <c r="M355">
        <v>5.7</v>
      </c>
      <c r="N355" t="s">
        <v>24</v>
      </c>
    </row>
    <row r="356" spans="1:14" x14ac:dyDescent="0.3">
      <c r="A356" t="s">
        <v>389</v>
      </c>
      <c r="B356">
        <v>21</v>
      </c>
      <c r="C356" t="s">
        <v>21</v>
      </c>
      <c r="D356" t="s">
        <v>43</v>
      </c>
      <c r="E356">
        <v>3</v>
      </c>
      <c r="F356">
        <v>7.79</v>
      </c>
      <c r="G356">
        <v>10</v>
      </c>
      <c r="H356">
        <v>80.7</v>
      </c>
      <c r="I356" t="s">
        <v>27</v>
      </c>
      <c r="J356" t="s">
        <v>18</v>
      </c>
      <c r="K356">
        <v>6.7</v>
      </c>
      <c r="L356">
        <v>8</v>
      </c>
      <c r="M356">
        <v>5.4</v>
      </c>
      <c r="N356" t="s">
        <v>24</v>
      </c>
    </row>
    <row r="357" spans="1:14" x14ac:dyDescent="0.3">
      <c r="A357" t="s">
        <v>390</v>
      </c>
      <c r="B357">
        <v>18</v>
      </c>
      <c r="C357" t="s">
        <v>21</v>
      </c>
      <c r="D357" t="s">
        <v>22</v>
      </c>
      <c r="E357">
        <v>2</v>
      </c>
      <c r="F357">
        <v>7.33</v>
      </c>
      <c r="G357">
        <v>2</v>
      </c>
      <c r="H357">
        <v>76.8</v>
      </c>
      <c r="I357" t="s">
        <v>17</v>
      </c>
      <c r="J357" t="s">
        <v>23</v>
      </c>
      <c r="K357">
        <v>7.9</v>
      </c>
      <c r="L357">
        <v>1</v>
      </c>
      <c r="M357">
        <v>4.9000000000000004</v>
      </c>
      <c r="N357" t="s">
        <v>24</v>
      </c>
    </row>
    <row r="358" spans="1:14" x14ac:dyDescent="0.3">
      <c r="A358" t="s">
        <v>391</v>
      </c>
      <c r="B358">
        <v>17</v>
      </c>
      <c r="C358" t="s">
        <v>21</v>
      </c>
      <c r="D358" t="s">
        <v>37</v>
      </c>
      <c r="E358">
        <v>1</v>
      </c>
      <c r="F358">
        <v>9.33</v>
      </c>
      <c r="G358">
        <v>2</v>
      </c>
      <c r="H358">
        <v>91.5</v>
      </c>
      <c r="I358" t="s">
        <v>30</v>
      </c>
      <c r="J358" t="s">
        <v>33</v>
      </c>
      <c r="K358">
        <v>0.4</v>
      </c>
      <c r="L358">
        <v>8</v>
      </c>
      <c r="M358">
        <v>6.1</v>
      </c>
      <c r="N358" t="s">
        <v>19</v>
      </c>
    </row>
    <row r="359" spans="1:14" x14ac:dyDescent="0.3">
      <c r="A359" t="s">
        <v>392</v>
      </c>
      <c r="B359">
        <v>25</v>
      </c>
      <c r="C359" t="s">
        <v>21</v>
      </c>
      <c r="D359" t="s">
        <v>43</v>
      </c>
      <c r="E359">
        <v>2</v>
      </c>
      <c r="F359">
        <v>4.41</v>
      </c>
      <c r="G359">
        <v>8</v>
      </c>
      <c r="H359">
        <v>54.9</v>
      </c>
      <c r="I359" t="s">
        <v>17</v>
      </c>
      <c r="J359" t="s">
        <v>23</v>
      </c>
      <c r="K359">
        <v>7.5</v>
      </c>
      <c r="L359">
        <v>5</v>
      </c>
      <c r="M359">
        <v>4.5999999999999996</v>
      </c>
      <c r="N359" t="s">
        <v>24</v>
      </c>
    </row>
    <row r="360" spans="1:14" x14ac:dyDescent="0.3">
      <c r="A360" t="s">
        <v>393</v>
      </c>
      <c r="B360">
        <v>24</v>
      </c>
      <c r="C360" t="s">
        <v>15</v>
      </c>
      <c r="D360" t="s">
        <v>39</v>
      </c>
      <c r="E360">
        <v>3</v>
      </c>
      <c r="F360">
        <v>6.01</v>
      </c>
      <c r="G360">
        <v>4</v>
      </c>
      <c r="H360">
        <v>82.9</v>
      </c>
      <c r="I360" t="s">
        <v>27</v>
      </c>
      <c r="J360" t="s">
        <v>23</v>
      </c>
      <c r="K360">
        <v>6.2</v>
      </c>
      <c r="L360">
        <v>6</v>
      </c>
      <c r="M360">
        <v>5.4</v>
      </c>
      <c r="N360" t="s">
        <v>24</v>
      </c>
    </row>
    <row r="361" spans="1:14" x14ac:dyDescent="0.3">
      <c r="A361" t="s">
        <v>394</v>
      </c>
      <c r="B361">
        <v>27</v>
      </c>
      <c r="C361" t="s">
        <v>15</v>
      </c>
      <c r="D361" t="s">
        <v>32</v>
      </c>
      <c r="E361">
        <v>1</v>
      </c>
      <c r="F361">
        <v>7.31</v>
      </c>
      <c r="G361">
        <v>5</v>
      </c>
      <c r="H361">
        <v>96.9</v>
      </c>
      <c r="I361" t="s">
        <v>27</v>
      </c>
      <c r="J361" t="s">
        <v>35</v>
      </c>
      <c r="K361">
        <v>7.1</v>
      </c>
      <c r="L361">
        <v>2</v>
      </c>
      <c r="M361">
        <v>7</v>
      </c>
      <c r="N361" t="s">
        <v>19</v>
      </c>
    </row>
    <row r="362" spans="1:14" x14ac:dyDescent="0.3">
      <c r="A362" t="s">
        <v>395</v>
      </c>
      <c r="B362">
        <v>23</v>
      </c>
      <c r="C362" t="s">
        <v>21</v>
      </c>
      <c r="D362" t="s">
        <v>48</v>
      </c>
      <c r="E362">
        <v>2</v>
      </c>
      <c r="F362">
        <v>6.62</v>
      </c>
      <c r="G362">
        <v>5</v>
      </c>
      <c r="H362">
        <v>53</v>
      </c>
      <c r="I362" t="s">
        <v>17</v>
      </c>
      <c r="J362" t="s">
        <v>54</v>
      </c>
      <c r="K362">
        <v>8.1999999999999993</v>
      </c>
      <c r="L362">
        <v>3</v>
      </c>
      <c r="M362">
        <v>4.2</v>
      </c>
      <c r="N362" t="s">
        <v>19</v>
      </c>
    </row>
    <row r="363" spans="1:14" x14ac:dyDescent="0.3">
      <c r="A363" t="s">
        <v>396</v>
      </c>
      <c r="B363">
        <v>25</v>
      </c>
      <c r="C363" t="s">
        <v>21</v>
      </c>
      <c r="D363" t="s">
        <v>29</v>
      </c>
      <c r="E363">
        <v>1</v>
      </c>
      <c r="F363">
        <v>7.5</v>
      </c>
      <c r="G363">
        <v>2</v>
      </c>
      <c r="H363">
        <v>52.1</v>
      </c>
      <c r="I363" t="s">
        <v>17</v>
      </c>
      <c r="J363" t="s">
        <v>35</v>
      </c>
      <c r="K363">
        <v>2.2000000000000002</v>
      </c>
      <c r="L363">
        <v>3</v>
      </c>
      <c r="M363">
        <v>5.5</v>
      </c>
      <c r="N363" t="s">
        <v>24</v>
      </c>
    </row>
    <row r="364" spans="1:14" x14ac:dyDescent="0.3">
      <c r="A364" t="s">
        <v>397</v>
      </c>
      <c r="B364">
        <v>21</v>
      </c>
      <c r="C364" t="s">
        <v>15</v>
      </c>
      <c r="D364" t="s">
        <v>26</v>
      </c>
      <c r="E364">
        <v>1</v>
      </c>
      <c r="F364">
        <v>7.43</v>
      </c>
      <c r="G364">
        <v>5</v>
      </c>
      <c r="H364">
        <v>76.8</v>
      </c>
      <c r="I364" t="s">
        <v>17</v>
      </c>
      <c r="J364" t="s">
        <v>33</v>
      </c>
      <c r="K364">
        <v>2.4</v>
      </c>
      <c r="L364">
        <v>1</v>
      </c>
      <c r="M364">
        <v>5.9</v>
      </c>
      <c r="N364" t="s">
        <v>19</v>
      </c>
    </row>
    <row r="365" spans="1:14" x14ac:dyDescent="0.3">
      <c r="A365" t="s">
        <v>398</v>
      </c>
      <c r="B365">
        <v>24</v>
      </c>
      <c r="C365" t="s">
        <v>15</v>
      </c>
      <c r="D365" t="s">
        <v>39</v>
      </c>
      <c r="E365">
        <v>3</v>
      </c>
      <c r="F365">
        <v>9.3699999999999992</v>
      </c>
      <c r="G365">
        <v>9</v>
      </c>
      <c r="H365">
        <v>62.1</v>
      </c>
      <c r="I365" t="s">
        <v>27</v>
      </c>
      <c r="J365" t="s">
        <v>23</v>
      </c>
      <c r="K365">
        <v>7.2</v>
      </c>
      <c r="L365">
        <v>9</v>
      </c>
      <c r="M365">
        <v>6.2</v>
      </c>
      <c r="N365" t="s">
        <v>24</v>
      </c>
    </row>
    <row r="366" spans="1:14" x14ac:dyDescent="0.3">
      <c r="A366" t="s">
        <v>399</v>
      </c>
      <c r="B366">
        <v>20</v>
      </c>
      <c r="C366" t="s">
        <v>15</v>
      </c>
      <c r="D366" t="s">
        <v>37</v>
      </c>
      <c r="E366">
        <v>2</v>
      </c>
      <c r="F366">
        <v>8.2100000000000009</v>
      </c>
      <c r="G366">
        <v>4</v>
      </c>
      <c r="H366">
        <v>81.400000000000006</v>
      </c>
      <c r="I366" t="s">
        <v>17</v>
      </c>
      <c r="J366" t="s">
        <v>33</v>
      </c>
      <c r="K366">
        <v>6.2</v>
      </c>
      <c r="L366">
        <v>4</v>
      </c>
      <c r="M366">
        <v>5.9</v>
      </c>
      <c r="N366" t="s">
        <v>19</v>
      </c>
    </row>
    <row r="367" spans="1:14" x14ac:dyDescent="0.3">
      <c r="A367" t="s">
        <v>400</v>
      </c>
      <c r="B367">
        <v>20</v>
      </c>
      <c r="C367" t="s">
        <v>21</v>
      </c>
      <c r="D367" t="s">
        <v>43</v>
      </c>
      <c r="E367">
        <v>3</v>
      </c>
      <c r="F367">
        <v>7.22</v>
      </c>
      <c r="G367">
        <v>10</v>
      </c>
      <c r="H367">
        <v>79.5</v>
      </c>
      <c r="I367" t="s">
        <v>30</v>
      </c>
      <c r="J367" t="s">
        <v>35</v>
      </c>
      <c r="K367">
        <v>8.6</v>
      </c>
      <c r="L367">
        <v>10</v>
      </c>
      <c r="M367">
        <v>8.6</v>
      </c>
      <c r="N367" t="s">
        <v>24</v>
      </c>
    </row>
    <row r="368" spans="1:14" x14ac:dyDescent="0.3">
      <c r="A368" t="s">
        <v>401</v>
      </c>
      <c r="B368">
        <v>23</v>
      </c>
      <c r="C368" t="s">
        <v>21</v>
      </c>
      <c r="D368" t="s">
        <v>16</v>
      </c>
      <c r="E368">
        <v>2</v>
      </c>
      <c r="F368">
        <v>6.42</v>
      </c>
      <c r="G368">
        <v>5</v>
      </c>
      <c r="H368">
        <v>68.5</v>
      </c>
      <c r="I368" t="s">
        <v>27</v>
      </c>
      <c r="J368" t="s">
        <v>23</v>
      </c>
      <c r="K368">
        <v>4.4000000000000004</v>
      </c>
      <c r="L368">
        <v>3</v>
      </c>
      <c r="M368">
        <v>5</v>
      </c>
      <c r="N368" t="s">
        <v>24</v>
      </c>
    </row>
    <row r="369" spans="1:14" x14ac:dyDescent="0.3">
      <c r="A369" t="s">
        <v>402</v>
      </c>
      <c r="B369">
        <v>24</v>
      </c>
      <c r="C369" t="s">
        <v>21</v>
      </c>
      <c r="D369" t="s">
        <v>39</v>
      </c>
      <c r="E369">
        <v>2</v>
      </c>
      <c r="F369">
        <v>9.15</v>
      </c>
      <c r="G369">
        <v>3</v>
      </c>
      <c r="H369">
        <v>55.4</v>
      </c>
      <c r="I369" t="s">
        <v>27</v>
      </c>
      <c r="J369" t="s">
        <v>18</v>
      </c>
      <c r="K369">
        <v>5.5</v>
      </c>
      <c r="L369">
        <v>9</v>
      </c>
      <c r="M369">
        <v>7.7</v>
      </c>
      <c r="N369" t="s">
        <v>24</v>
      </c>
    </row>
    <row r="370" spans="1:14" x14ac:dyDescent="0.3">
      <c r="A370" t="s">
        <v>403</v>
      </c>
      <c r="B370">
        <v>20</v>
      </c>
      <c r="C370" t="s">
        <v>15</v>
      </c>
      <c r="D370" t="s">
        <v>22</v>
      </c>
      <c r="E370">
        <v>2</v>
      </c>
      <c r="F370">
        <v>5.0599999999999996</v>
      </c>
      <c r="G370">
        <v>10</v>
      </c>
      <c r="H370">
        <v>92.3</v>
      </c>
      <c r="I370" t="s">
        <v>17</v>
      </c>
      <c r="J370" t="s">
        <v>33</v>
      </c>
      <c r="K370">
        <v>4.3</v>
      </c>
      <c r="L370">
        <v>7</v>
      </c>
      <c r="M370">
        <v>3.8</v>
      </c>
      <c r="N370" t="s">
        <v>19</v>
      </c>
    </row>
    <row r="371" spans="1:14" x14ac:dyDescent="0.3">
      <c r="A371" t="s">
        <v>404</v>
      </c>
      <c r="B371">
        <v>25</v>
      </c>
      <c r="C371" t="s">
        <v>21</v>
      </c>
      <c r="D371" t="s">
        <v>43</v>
      </c>
      <c r="E371">
        <v>2</v>
      </c>
      <c r="F371">
        <v>5.93</v>
      </c>
      <c r="G371">
        <v>2</v>
      </c>
      <c r="H371">
        <v>61.7</v>
      </c>
      <c r="I371" t="s">
        <v>27</v>
      </c>
      <c r="J371" t="s">
        <v>23</v>
      </c>
      <c r="K371">
        <v>4.4000000000000004</v>
      </c>
      <c r="L371">
        <v>10</v>
      </c>
      <c r="M371">
        <v>4.4000000000000004</v>
      </c>
      <c r="N371" t="s">
        <v>19</v>
      </c>
    </row>
    <row r="372" spans="1:14" x14ac:dyDescent="0.3">
      <c r="A372" t="s">
        <v>405</v>
      </c>
      <c r="B372">
        <v>24</v>
      </c>
      <c r="C372" t="s">
        <v>15</v>
      </c>
      <c r="D372" t="s">
        <v>16</v>
      </c>
      <c r="E372">
        <v>1</v>
      </c>
      <c r="F372">
        <v>5.82</v>
      </c>
      <c r="G372">
        <v>5</v>
      </c>
      <c r="H372">
        <v>59.9</v>
      </c>
      <c r="I372" t="s">
        <v>27</v>
      </c>
      <c r="J372" t="s">
        <v>18</v>
      </c>
      <c r="K372">
        <v>0.3</v>
      </c>
      <c r="L372">
        <v>4</v>
      </c>
      <c r="M372">
        <v>9.1999999999999993</v>
      </c>
      <c r="N372" t="s">
        <v>19</v>
      </c>
    </row>
    <row r="373" spans="1:14" x14ac:dyDescent="0.3">
      <c r="A373" t="s">
        <v>406</v>
      </c>
      <c r="B373">
        <v>26</v>
      </c>
      <c r="C373" t="s">
        <v>21</v>
      </c>
      <c r="D373" t="s">
        <v>48</v>
      </c>
      <c r="E373">
        <v>1</v>
      </c>
      <c r="F373">
        <v>8.07</v>
      </c>
      <c r="G373">
        <v>6</v>
      </c>
      <c r="H373">
        <v>50.1</v>
      </c>
      <c r="I373" t="s">
        <v>30</v>
      </c>
      <c r="J373" t="s">
        <v>54</v>
      </c>
      <c r="K373">
        <v>5.6</v>
      </c>
      <c r="L373">
        <v>4</v>
      </c>
      <c r="M373">
        <v>4.2</v>
      </c>
      <c r="N373" t="s">
        <v>24</v>
      </c>
    </row>
    <row r="374" spans="1:14" x14ac:dyDescent="0.3">
      <c r="A374" t="s">
        <v>407</v>
      </c>
      <c r="B374">
        <v>19</v>
      </c>
      <c r="C374" t="s">
        <v>21</v>
      </c>
      <c r="D374" t="s">
        <v>37</v>
      </c>
      <c r="E374">
        <v>1</v>
      </c>
      <c r="F374">
        <v>7.39</v>
      </c>
      <c r="G374">
        <v>5</v>
      </c>
      <c r="H374">
        <v>98</v>
      </c>
      <c r="I374" t="s">
        <v>30</v>
      </c>
      <c r="J374" t="s">
        <v>54</v>
      </c>
      <c r="K374">
        <v>7.1</v>
      </c>
      <c r="L374">
        <v>9</v>
      </c>
      <c r="M374">
        <v>7.1</v>
      </c>
      <c r="N374" t="s">
        <v>19</v>
      </c>
    </row>
    <row r="375" spans="1:14" x14ac:dyDescent="0.3">
      <c r="A375" t="s">
        <v>408</v>
      </c>
      <c r="B375">
        <v>18</v>
      </c>
      <c r="C375" t="s">
        <v>21</v>
      </c>
      <c r="D375" t="s">
        <v>37</v>
      </c>
      <c r="E375">
        <v>3</v>
      </c>
      <c r="F375">
        <v>5.66</v>
      </c>
      <c r="G375">
        <v>8</v>
      </c>
      <c r="H375">
        <v>66.900000000000006</v>
      </c>
      <c r="I375" t="s">
        <v>27</v>
      </c>
      <c r="J375" t="s">
        <v>18</v>
      </c>
      <c r="K375">
        <v>1.7</v>
      </c>
      <c r="L375">
        <v>3</v>
      </c>
      <c r="M375">
        <v>8.6999999999999993</v>
      </c>
      <c r="N375" t="s">
        <v>24</v>
      </c>
    </row>
    <row r="376" spans="1:14" x14ac:dyDescent="0.3">
      <c r="A376" t="s">
        <v>409</v>
      </c>
      <c r="B376">
        <v>18</v>
      </c>
      <c r="C376" t="s">
        <v>21</v>
      </c>
      <c r="D376" t="s">
        <v>22</v>
      </c>
      <c r="E376">
        <v>2</v>
      </c>
      <c r="F376">
        <v>4.1100000000000003</v>
      </c>
      <c r="G376">
        <v>2</v>
      </c>
      <c r="H376">
        <v>71</v>
      </c>
      <c r="I376" t="s">
        <v>30</v>
      </c>
      <c r="J376" t="s">
        <v>23</v>
      </c>
      <c r="K376">
        <v>8.1</v>
      </c>
      <c r="L376">
        <v>7</v>
      </c>
      <c r="M376">
        <v>3.6</v>
      </c>
      <c r="N376" t="s">
        <v>24</v>
      </c>
    </row>
    <row r="377" spans="1:14" x14ac:dyDescent="0.3">
      <c r="A377" t="s">
        <v>410</v>
      </c>
      <c r="B377">
        <v>25</v>
      </c>
      <c r="C377" t="s">
        <v>15</v>
      </c>
      <c r="D377" t="s">
        <v>29</v>
      </c>
      <c r="E377">
        <v>2</v>
      </c>
      <c r="F377">
        <v>6.22</v>
      </c>
      <c r="G377">
        <v>8</v>
      </c>
      <c r="H377">
        <v>93.2</v>
      </c>
      <c r="I377" t="s">
        <v>27</v>
      </c>
      <c r="J377" t="s">
        <v>35</v>
      </c>
      <c r="K377">
        <v>8.3000000000000007</v>
      </c>
      <c r="L377">
        <v>6</v>
      </c>
      <c r="M377">
        <v>5.9</v>
      </c>
      <c r="N377" t="s">
        <v>19</v>
      </c>
    </row>
    <row r="378" spans="1:14" x14ac:dyDescent="0.3">
      <c r="A378" t="s">
        <v>411</v>
      </c>
      <c r="B378">
        <v>20</v>
      </c>
      <c r="C378" t="s">
        <v>15</v>
      </c>
      <c r="D378" t="s">
        <v>43</v>
      </c>
      <c r="E378">
        <v>3</v>
      </c>
      <c r="F378">
        <v>8.7200000000000006</v>
      </c>
      <c r="G378">
        <v>10</v>
      </c>
      <c r="H378">
        <v>88.5</v>
      </c>
      <c r="I378" t="s">
        <v>30</v>
      </c>
      <c r="J378" t="s">
        <v>54</v>
      </c>
      <c r="K378">
        <v>0.9</v>
      </c>
      <c r="L378">
        <v>4</v>
      </c>
      <c r="M378">
        <v>3.9</v>
      </c>
      <c r="N378" t="s">
        <v>24</v>
      </c>
    </row>
    <row r="379" spans="1:14" x14ac:dyDescent="0.3">
      <c r="A379" t="s">
        <v>412</v>
      </c>
      <c r="B379">
        <v>17</v>
      </c>
      <c r="C379" t="s">
        <v>21</v>
      </c>
      <c r="D379" t="s">
        <v>48</v>
      </c>
      <c r="E379">
        <v>2</v>
      </c>
      <c r="F379">
        <v>6.97</v>
      </c>
      <c r="G379">
        <v>2</v>
      </c>
      <c r="H379">
        <v>65</v>
      </c>
      <c r="I379" t="s">
        <v>27</v>
      </c>
      <c r="J379" t="s">
        <v>23</v>
      </c>
      <c r="K379">
        <v>1.1000000000000001</v>
      </c>
      <c r="L379">
        <v>3</v>
      </c>
      <c r="M379">
        <v>5.5</v>
      </c>
      <c r="N379" t="s">
        <v>19</v>
      </c>
    </row>
    <row r="380" spans="1:14" x14ac:dyDescent="0.3">
      <c r="A380" t="s">
        <v>413</v>
      </c>
      <c r="B380">
        <v>22</v>
      </c>
      <c r="C380" t="s">
        <v>21</v>
      </c>
      <c r="D380" t="s">
        <v>22</v>
      </c>
      <c r="E380">
        <v>2</v>
      </c>
      <c r="F380">
        <v>7.28</v>
      </c>
      <c r="G380">
        <v>6</v>
      </c>
      <c r="H380">
        <v>74</v>
      </c>
      <c r="I380" t="s">
        <v>17</v>
      </c>
      <c r="J380" t="s">
        <v>33</v>
      </c>
      <c r="K380">
        <v>6.4</v>
      </c>
      <c r="L380">
        <v>10</v>
      </c>
      <c r="M380">
        <v>6.1</v>
      </c>
      <c r="N380" t="s">
        <v>24</v>
      </c>
    </row>
    <row r="381" spans="1:14" x14ac:dyDescent="0.3">
      <c r="A381" t="s">
        <v>414</v>
      </c>
      <c r="B381">
        <v>21</v>
      </c>
      <c r="C381" t="s">
        <v>15</v>
      </c>
      <c r="D381" t="s">
        <v>48</v>
      </c>
      <c r="E381">
        <v>1</v>
      </c>
      <c r="F381">
        <v>7.27</v>
      </c>
      <c r="G381">
        <v>7</v>
      </c>
      <c r="H381">
        <v>65.8</v>
      </c>
      <c r="I381" t="s">
        <v>17</v>
      </c>
      <c r="J381" t="s">
        <v>23</v>
      </c>
      <c r="K381">
        <v>2.2999999999999998</v>
      </c>
      <c r="L381">
        <v>2</v>
      </c>
      <c r="M381">
        <v>8.8000000000000007</v>
      </c>
      <c r="N381" t="s">
        <v>19</v>
      </c>
    </row>
    <row r="382" spans="1:14" x14ac:dyDescent="0.3">
      <c r="A382" t="s">
        <v>415</v>
      </c>
      <c r="B382">
        <v>24</v>
      </c>
      <c r="C382" t="s">
        <v>21</v>
      </c>
      <c r="D382" t="s">
        <v>29</v>
      </c>
      <c r="E382">
        <v>2</v>
      </c>
      <c r="F382">
        <v>9.93</v>
      </c>
      <c r="G382">
        <v>6</v>
      </c>
      <c r="H382">
        <v>68.8</v>
      </c>
      <c r="I382" t="s">
        <v>17</v>
      </c>
      <c r="J382" t="s">
        <v>33</v>
      </c>
      <c r="K382">
        <v>7.3</v>
      </c>
      <c r="L382">
        <v>9</v>
      </c>
      <c r="M382">
        <v>6.5</v>
      </c>
      <c r="N382" t="s">
        <v>19</v>
      </c>
    </row>
    <row r="383" spans="1:14" x14ac:dyDescent="0.3">
      <c r="A383" t="s">
        <v>416</v>
      </c>
      <c r="B383">
        <v>27</v>
      </c>
      <c r="C383" t="s">
        <v>15</v>
      </c>
      <c r="D383" t="s">
        <v>39</v>
      </c>
      <c r="E383">
        <v>2</v>
      </c>
      <c r="F383">
        <v>5.55</v>
      </c>
      <c r="G383">
        <v>6</v>
      </c>
      <c r="H383">
        <v>54.5</v>
      </c>
      <c r="I383" t="s">
        <v>30</v>
      </c>
      <c r="J383" t="s">
        <v>23</v>
      </c>
      <c r="K383">
        <v>2.2999999999999998</v>
      </c>
      <c r="L383">
        <v>1</v>
      </c>
      <c r="M383">
        <v>4.7</v>
      </c>
      <c r="N383" t="s">
        <v>19</v>
      </c>
    </row>
    <row r="384" spans="1:14" x14ac:dyDescent="0.3">
      <c r="A384" t="s">
        <v>417</v>
      </c>
      <c r="B384">
        <v>27</v>
      </c>
      <c r="C384" t="s">
        <v>15</v>
      </c>
      <c r="D384" t="s">
        <v>32</v>
      </c>
      <c r="E384">
        <v>3</v>
      </c>
      <c r="F384">
        <v>9.2100000000000009</v>
      </c>
      <c r="G384">
        <v>2</v>
      </c>
      <c r="H384">
        <v>99.5</v>
      </c>
      <c r="I384" t="s">
        <v>17</v>
      </c>
      <c r="J384" t="s">
        <v>35</v>
      </c>
      <c r="K384">
        <v>0.1</v>
      </c>
      <c r="L384">
        <v>7</v>
      </c>
      <c r="M384">
        <v>5.8</v>
      </c>
      <c r="N384" t="s">
        <v>19</v>
      </c>
    </row>
    <row r="385" spans="1:14" x14ac:dyDescent="0.3">
      <c r="A385" t="s">
        <v>418</v>
      </c>
      <c r="B385">
        <v>18</v>
      </c>
      <c r="C385" t="s">
        <v>21</v>
      </c>
      <c r="D385" t="s">
        <v>16</v>
      </c>
      <c r="E385">
        <v>2</v>
      </c>
      <c r="F385">
        <v>8.02</v>
      </c>
      <c r="G385">
        <v>3</v>
      </c>
      <c r="H385">
        <v>69.3</v>
      </c>
      <c r="I385" t="s">
        <v>17</v>
      </c>
      <c r="J385" t="s">
        <v>23</v>
      </c>
      <c r="K385">
        <v>7.1</v>
      </c>
      <c r="L385">
        <v>1</v>
      </c>
      <c r="M385">
        <v>8.1</v>
      </c>
      <c r="N385" t="s">
        <v>19</v>
      </c>
    </row>
    <row r="386" spans="1:14" x14ac:dyDescent="0.3">
      <c r="A386" t="s">
        <v>419</v>
      </c>
      <c r="B386">
        <v>24</v>
      </c>
      <c r="C386" t="s">
        <v>15</v>
      </c>
      <c r="D386" t="s">
        <v>37</v>
      </c>
      <c r="E386">
        <v>1</v>
      </c>
      <c r="F386">
        <v>4.45</v>
      </c>
      <c r="G386">
        <v>8</v>
      </c>
      <c r="H386">
        <v>98.2</v>
      </c>
      <c r="I386" t="s">
        <v>17</v>
      </c>
      <c r="J386" t="s">
        <v>35</v>
      </c>
      <c r="K386">
        <v>5.9</v>
      </c>
      <c r="L386">
        <v>9</v>
      </c>
      <c r="M386">
        <v>3.7</v>
      </c>
      <c r="N386" t="s">
        <v>24</v>
      </c>
    </row>
    <row r="387" spans="1:14" x14ac:dyDescent="0.3">
      <c r="A387" t="s">
        <v>420</v>
      </c>
      <c r="B387">
        <v>17</v>
      </c>
      <c r="C387" t="s">
        <v>15</v>
      </c>
      <c r="D387" t="s">
        <v>22</v>
      </c>
      <c r="E387">
        <v>1</v>
      </c>
      <c r="F387">
        <v>6.86</v>
      </c>
      <c r="G387">
        <v>6</v>
      </c>
      <c r="H387">
        <v>79</v>
      </c>
      <c r="I387" t="s">
        <v>27</v>
      </c>
      <c r="J387" t="s">
        <v>18</v>
      </c>
      <c r="K387">
        <v>7</v>
      </c>
      <c r="L387">
        <v>3</v>
      </c>
      <c r="M387">
        <v>8.6</v>
      </c>
      <c r="N387" t="s">
        <v>19</v>
      </c>
    </row>
    <row r="388" spans="1:14" x14ac:dyDescent="0.3">
      <c r="A388" t="s">
        <v>421</v>
      </c>
      <c r="B388">
        <v>19</v>
      </c>
      <c r="C388" t="s">
        <v>21</v>
      </c>
      <c r="D388" t="s">
        <v>43</v>
      </c>
      <c r="E388">
        <v>3</v>
      </c>
      <c r="F388">
        <v>8.77</v>
      </c>
      <c r="G388">
        <v>7</v>
      </c>
      <c r="H388">
        <v>92.8</v>
      </c>
      <c r="I388" t="s">
        <v>17</v>
      </c>
      <c r="J388" t="s">
        <v>18</v>
      </c>
      <c r="K388">
        <v>8.9</v>
      </c>
      <c r="L388">
        <v>7</v>
      </c>
      <c r="M388">
        <v>7.7</v>
      </c>
      <c r="N388" t="s">
        <v>19</v>
      </c>
    </row>
    <row r="389" spans="1:14" x14ac:dyDescent="0.3">
      <c r="A389" t="s">
        <v>422</v>
      </c>
      <c r="B389">
        <v>26</v>
      </c>
      <c r="C389" t="s">
        <v>15</v>
      </c>
      <c r="D389" t="s">
        <v>48</v>
      </c>
      <c r="E389">
        <v>3</v>
      </c>
      <c r="F389">
        <v>7.9</v>
      </c>
      <c r="G389">
        <v>6</v>
      </c>
      <c r="H389">
        <v>62.6</v>
      </c>
      <c r="I389" t="s">
        <v>27</v>
      </c>
      <c r="J389" t="s">
        <v>18</v>
      </c>
      <c r="K389">
        <v>3.9</v>
      </c>
      <c r="L389">
        <v>9</v>
      </c>
      <c r="M389">
        <v>9.1</v>
      </c>
      <c r="N389" t="s">
        <v>24</v>
      </c>
    </row>
    <row r="390" spans="1:14" x14ac:dyDescent="0.3">
      <c r="A390" t="s">
        <v>423</v>
      </c>
      <c r="B390">
        <v>22</v>
      </c>
      <c r="C390" t="s">
        <v>21</v>
      </c>
      <c r="D390" t="s">
        <v>37</v>
      </c>
      <c r="E390">
        <v>3</v>
      </c>
      <c r="F390">
        <v>5.4</v>
      </c>
      <c r="G390">
        <v>3</v>
      </c>
      <c r="H390">
        <v>92.9</v>
      </c>
      <c r="I390" t="s">
        <v>27</v>
      </c>
      <c r="J390" t="s">
        <v>35</v>
      </c>
      <c r="K390">
        <v>6</v>
      </c>
      <c r="L390">
        <v>10</v>
      </c>
      <c r="M390">
        <v>9.1</v>
      </c>
      <c r="N390" t="s">
        <v>19</v>
      </c>
    </row>
    <row r="391" spans="1:14" x14ac:dyDescent="0.3">
      <c r="A391" t="s">
        <v>424</v>
      </c>
      <c r="B391">
        <v>26</v>
      </c>
      <c r="C391" t="s">
        <v>21</v>
      </c>
      <c r="D391" t="s">
        <v>16</v>
      </c>
      <c r="E391">
        <v>2</v>
      </c>
      <c r="F391">
        <v>8.1300000000000008</v>
      </c>
      <c r="G391">
        <v>2</v>
      </c>
      <c r="H391">
        <v>56.1</v>
      </c>
      <c r="I391" t="s">
        <v>17</v>
      </c>
      <c r="J391" t="s">
        <v>35</v>
      </c>
      <c r="K391">
        <v>3.9</v>
      </c>
      <c r="L391">
        <v>10</v>
      </c>
      <c r="M391">
        <v>7.3</v>
      </c>
      <c r="N391" t="s">
        <v>24</v>
      </c>
    </row>
    <row r="392" spans="1:14" x14ac:dyDescent="0.3">
      <c r="A392" t="s">
        <v>425</v>
      </c>
      <c r="B392">
        <v>17</v>
      </c>
      <c r="C392" t="s">
        <v>15</v>
      </c>
      <c r="D392" t="s">
        <v>26</v>
      </c>
      <c r="E392">
        <v>1</v>
      </c>
      <c r="F392">
        <v>8.01</v>
      </c>
      <c r="G392">
        <v>4</v>
      </c>
      <c r="H392">
        <v>83.2</v>
      </c>
      <c r="I392" t="s">
        <v>30</v>
      </c>
      <c r="J392" t="s">
        <v>54</v>
      </c>
      <c r="K392">
        <v>6.9</v>
      </c>
      <c r="L392">
        <v>3</v>
      </c>
      <c r="M392">
        <v>4.0999999999999996</v>
      </c>
      <c r="N392" t="s">
        <v>19</v>
      </c>
    </row>
    <row r="393" spans="1:14" x14ac:dyDescent="0.3">
      <c r="A393" t="s">
        <v>426</v>
      </c>
      <c r="B393">
        <v>25</v>
      </c>
      <c r="C393" t="s">
        <v>15</v>
      </c>
      <c r="D393" t="s">
        <v>22</v>
      </c>
      <c r="E393">
        <v>2</v>
      </c>
      <c r="F393">
        <v>4.3499999999999996</v>
      </c>
      <c r="G393">
        <v>2</v>
      </c>
      <c r="H393">
        <v>52.5</v>
      </c>
      <c r="I393" t="s">
        <v>27</v>
      </c>
      <c r="J393" t="s">
        <v>23</v>
      </c>
      <c r="K393">
        <v>0.8</v>
      </c>
      <c r="L393">
        <v>2</v>
      </c>
      <c r="M393">
        <v>5</v>
      </c>
      <c r="N393" t="s">
        <v>19</v>
      </c>
    </row>
    <row r="394" spans="1:14" x14ac:dyDescent="0.3">
      <c r="A394" t="s">
        <v>427</v>
      </c>
      <c r="B394">
        <v>20</v>
      </c>
      <c r="C394" t="s">
        <v>15</v>
      </c>
      <c r="D394" t="s">
        <v>22</v>
      </c>
      <c r="E394">
        <v>1</v>
      </c>
      <c r="F394">
        <v>9.56</v>
      </c>
      <c r="G394">
        <v>5</v>
      </c>
      <c r="H394">
        <v>68.3</v>
      </c>
      <c r="I394" t="s">
        <v>27</v>
      </c>
      <c r="J394" t="s">
        <v>35</v>
      </c>
      <c r="K394">
        <v>2</v>
      </c>
      <c r="L394">
        <v>6</v>
      </c>
      <c r="M394">
        <v>5.2</v>
      </c>
      <c r="N394" t="s">
        <v>19</v>
      </c>
    </row>
    <row r="395" spans="1:14" x14ac:dyDescent="0.3">
      <c r="A395" t="s">
        <v>428</v>
      </c>
      <c r="B395">
        <v>18</v>
      </c>
      <c r="C395" t="s">
        <v>15</v>
      </c>
      <c r="D395" t="s">
        <v>29</v>
      </c>
      <c r="E395">
        <v>1</v>
      </c>
      <c r="F395">
        <v>6.72</v>
      </c>
      <c r="G395">
        <v>4</v>
      </c>
      <c r="H395">
        <v>90.1</v>
      </c>
      <c r="I395" t="s">
        <v>27</v>
      </c>
      <c r="J395" t="s">
        <v>35</v>
      </c>
      <c r="K395">
        <v>6.5</v>
      </c>
      <c r="L395">
        <v>5</v>
      </c>
      <c r="M395">
        <v>5.8</v>
      </c>
      <c r="N395" t="s">
        <v>19</v>
      </c>
    </row>
    <row r="396" spans="1:14" x14ac:dyDescent="0.3">
      <c r="A396" t="s">
        <v>429</v>
      </c>
      <c r="B396">
        <v>27</v>
      </c>
      <c r="C396" t="s">
        <v>15</v>
      </c>
      <c r="D396" t="s">
        <v>29</v>
      </c>
      <c r="E396">
        <v>1</v>
      </c>
      <c r="F396">
        <v>7.14</v>
      </c>
      <c r="G396">
        <v>4</v>
      </c>
      <c r="H396">
        <v>73.099999999999994</v>
      </c>
      <c r="I396" t="s">
        <v>27</v>
      </c>
      <c r="J396" t="s">
        <v>23</v>
      </c>
      <c r="K396">
        <v>0.3</v>
      </c>
      <c r="L396">
        <v>10</v>
      </c>
      <c r="M396">
        <v>7.2</v>
      </c>
      <c r="N396" t="s">
        <v>24</v>
      </c>
    </row>
    <row r="397" spans="1:14" x14ac:dyDescent="0.3">
      <c r="A397" t="s">
        <v>430</v>
      </c>
      <c r="B397">
        <v>25</v>
      </c>
      <c r="C397" t="s">
        <v>21</v>
      </c>
      <c r="D397" t="s">
        <v>16</v>
      </c>
      <c r="E397">
        <v>2</v>
      </c>
      <c r="F397">
        <v>6.82</v>
      </c>
      <c r="G397">
        <v>3</v>
      </c>
      <c r="H397">
        <v>88.3</v>
      </c>
      <c r="I397" t="s">
        <v>30</v>
      </c>
      <c r="J397" t="s">
        <v>54</v>
      </c>
      <c r="K397">
        <v>2.6</v>
      </c>
      <c r="L397">
        <v>10</v>
      </c>
      <c r="M397">
        <v>9.1999999999999993</v>
      </c>
      <c r="N397" t="s">
        <v>24</v>
      </c>
    </row>
    <row r="398" spans="1:14" x14ac:dyDescent="0.3">
      <c r="A398" t="s">
        <v>431</v>
      </c>
      <c r="B398">
        <v>22</v>
      </c>
      <c r="C398" t="s">
        <v>21</v>
      </c>
      <c r="D398" t="s">
        <v>43</v>
      </c>
      <c r="E398">
        <v>2</v>
      </c>
      <c r="F398">
        <v>4.41</v>
      </c>
      <c r="G398">
        <v>7</v>
      </c>
      <c r="H398">
        <v>55.9</v>
      </c>
      <c r="I398" t="s">
        <v>30</v>
      </c>
      <c r="J398" t="s">
        <v>23</v>
      </c>
      <c r="K398">
        <v>1.3</v>
      </c>
      <c r="L398">
        <v>1</v>
      </c>
      <c r="M398">
        <v>5.6</v>
      </c>
      <c r="N398" t="s">
        <v>19</v>
      </c>
    </row>
    <row r="399" spans="1:14" x14ac:dyDescent="0.3">
      <c r="A399" t="s">
        <v>432</v>
      </c>
      <c r="B399">
        <v>21</v>
      </c>
      <c r="C399" t="s">
        <v>21</v>
      </c>
      <c r="D399" t="s">
        <v>43</v>
      </c>
      <c r="E399">
        <v>3</v>
      </c>
      <c r="F399">
        <v>7.19</v>
      </c>
      <c r="G399">
        <v>8</v>
      </c>
      <c r="H399">
        <v>63</v>
      </c>
      <c r="I399" t="s">
        <v>17</v>
      </c>
      <c r="J399" t="s">
        <v>35</v>
      </c>
      <c r="K399">
        <v>7</v>
      </c>
      <c r="L399">
        <v>10</v>
      </c>
      <c r="M399">
        <v>4.3</v>
      </c>
      <c r="N399" t="s">
        <v>19</v>
      </c>
    </row>
    <row r="400" spans="1:14" x14ac:dyDescent="0.3">
      <c r="A400" t="s">
        <v>433</v>
      </c>
      <c r="B400">
        <v>23</v>
      </c>
      <c r="C400" t="s">
        <v>21</v>
      </c>
      <c r="D400" t="s">
        <v>32</v>
      </c>
      <c r="E400">
        <v>1</v>
      </c>
      <c r="F400">
        <v>7.51</v>
      </c>
      <c r="G400">
        <v>7</v>
      </c>
      <c r="H400">
        <v>91.7</v>
      </c>
      <c r="I400" t="s">
        <v>30</v>
      </c>
      <c r="J400" t="s">
        <v>54</v>
      </c>
      <c r="K400">
        <v>3.8</v>
      </c>
      <c r="L400">
        <v>3</v>
      </c>
      <c r="M400">
        <v>7</v>
      </c>
      <c r="N400" t="s">
        <v>19</v>
      </c>
    </row>
    <row r="401" spans="1:14" x14ac:dyDescent="0.3">
      <c r="A401" t="s">
        <v>434</v>
      </c>
      <c r="B401">
        <v>27</v>
      </c>
      <c r="C401" t="s">
        <v>15</v>
      </c>
      <c r="D401" t="s">
        <v>39</v>
      </c>
      <c r="E401">
        <v>3</v>
      </c>
      <c r="F401">
        <v>7.7</v>
      </c>
      <c r="G401">
        <v>3</v>
      </c>
      <c r="H401">
        <v>82.5</v>
      </c>
      <c r="I401" t="s">
        <v>30</v>
      </c>
      <c r="J401" t="s">
        <v>23</v>
      </c>
      <c r="K401">
        <v>7.8</v>
      </c>
      <c r="L401">
        <v>9</v>
      </c>
      <c r="M401">
        <v>8.9</v>
      </c>
      <c r="N401" t="s">
        <v>19</v>
      </c>
    </row>
    <row r="402" spans="1:14" x14ac:dyDescent="0.3">
      <c r="A402" t="s">
        <v>435</v>
      </c>
      <c r="B402">
        <v>18</v>
      </c>
      <c r="C402" t="s">
        <v>21</v>
      </c>
      <c r="D402" t="s">
        <v>29</v>
      </c>
      <c r="E402">
        <v>1</v>
      </c>
      <c r="F402">
        <v>7.19</v>
      </c>
      <c r="G402">
        <v>7</v>
      </c>
      <c r="H402">
        <v>81.7</v>
      </c>
      <c r="I402" t="s">
        <v>30</v>
      </c>
      <c r="J402" t="s">
        <v>33</v>
      </c>
      <c r="K402">
        <v>3.5</v>
      </c>
      <c r="L402">
        <v>4</v>
      </c>
      <c r="M402">
        <v>9.3000000000000007</v>
      </c>
      <c r="N402" t="s">
        <v>24</v>
      </c>
    </row>
    <row r="403" spans="1:14" x14ac:dyDescent="0.3">
      <c r="A403" t="s">
        <v>436</v>
      </c>
      <c r="B403">
        <v>19</v>
      </c>
      <c r="C403" t="s">
        <v>21</v>
      </c>
      <c r="D403" t="s">
        <v>39</v>
      </c>
      <c r="E403">
        <v>1</v>
      </c>
      <c r="F403">
        <v>4.7699999999999996</v>
      </c>
      <c r="G403">
        <v>8</v>
      </c>
      <c r="H403">
        <v>86.9</v>
      </c>
      <c r="I403" t="s">
        <v>30</v>
      </c>
      <c r="J403" t="s">
        <v>35</v>
      </c>
      <c r="K403">
        <v>5</v>
      </c>
      <c r="L403">
        <v>8</v>
      </c>
      <c r="M403">
        <v>3.6</v>
      </c>
      <c r="N403" t="s">
        <v>19</v>
      </c>
    </row>
    <row r="404" spans="1:14" x14ac:dyDescent="0.3">
      <c r="A404" t="s">
        <v>437</v>
      </c>
      <c r="B404">
        <v>20</v>
      </c>
      <c r="C404" t="s">
        <v>15</v>
      </c>
      <c r="D404" t="s">
        <v>39</v>
      </c>
      <c r="E404">
        <v>1</v>
      </c>
      <c r="F404">
        <v>4.72</v>
      </c>
      <c r="G404">
        <v>6</v>
      </c>
      <c r="H404">
        <v>52.2</v>
      </c>
      <c r="I404" t="s">
        <v>17</v>
      </c>
      <c r="J404" t="s">
        <v>35</v>
      </c>
      <c r="K404">
        <v>3.8</v>
      </c>
      <c r="L404">
        <v>8</v>
      </c>
      <c r="M404">
        <v>7.1</v>
      </c>
      <c r="N404" t="s">
        <v>19</v>
      </c>
    </row>
    <row r="405" spans="1:14" x14ac:dyDescent="0.3">
      <c r="A405" t="s">
        <v>438</v>
      </c>
      <c r="B405">
        <v>26</v>
      </c>
      <c r="C405" t="s">
        <v>21</v>
      </c>
      <c r="D405" t="s">
        <v>32</v>
      </c>
      <c r="E405">
        <v>1</v>
      </c>
      <c r="F405">
        <v>7.34</v>
      </c>
      <c r="G405">
        <v>3</v>
      </c>
      <c r="H405">
        <v>76.099999999999994</v>
      </c>
      <c r="I405" t="s">
        <v>27</v>
      </c>
      <c r="J405" t="s">
        <v>35</v>
      </c>
      <c r="K405">
        <v>6.1</v>
      </c>
      <c r="L405">
        <v>2</v>
      </c>
      <c r="M405">
        <v>9.5</v>
      </c>
      <c r="N405" t="s">
        <v>24</v>
      </c>
    </row>
    <row r="406" spans="1:14" x14ac:dyDescent="0.3">
      <c r="A406" t="s">
        <v>439</v>
      </c>
      <c r="B406">
        <v>27</v>
      </c>
      <c r="C406" t="s">
        <v>21</v>
      </c>
      <c r="D406" t="s">
        <v>32</v>
      </c>
      <c r="E406">
        <v>4</v>
      </c>
      <c r="F406">
        <v>9.43</v>
      </c>
      <c r="G406">
        <v>6</v>
      </c>
      <c r="H406">
        <v>80.7</v>
      </c>
      <c r="I406" t="s">
        <v>30</v>
      </c>
      <c r="J406" t="s">
        <v>35</v>
      </c>
      <c r="K406">
        <v>6.3</v>
      </c>
      <c r="L406">
        <v>10</v>
      </c>
      <c r="M406">
        <v>8.1999999999999993</v>
      </c>
      <c r="N406" t="s">
        <v>19</v>
      </c>
    </row>
    <row r="407" spans="1:14" x14ac:dyDescent="0.3">
      <c r="A407" t="s">
        <v>440</v>
      </c>
      <c r="B407">
        <v>20</v>
      </c>
      <c r="C407" t="s">
        <v>21</v>
      </c>
      <c r="D407" t="s">
        <v>32</v>
      </c>
      <c r="E407">
        <v>2</v>
      </c>
      <c r="F407">
        <v>5.64</v>
      </c>
      <c r="G407">
        <v>9</v>
      </c>
      <c r="H407">
        <v>72.099999999999994</v>
      </c>
      <c r="I407" t="s">
        <v>30</v>
      </c>
      <c r="J407" t="s">
        <v>54</v>
      </c>
      <c r="K407">
        <v>6.1</v>
      </c>
      <c r="L407">
        <v>5</v>
      </c>
      <c r="M407">
        <v>3.7</v>
      </c>
      <c r="N407" t="s">
        <v>19</v>
      </c>
    </row>
    <row r="408" spans="1:14" x14ac:dyDescent="0.3">
      <c r="A408" t="s">
        <v>441</v>
      </c>
      <c r="B408">
        <v>17</v>
      </c>
      <c r="C408" t="s">
        <v>21</v>
      </c>
      <c r="D408" t="s">
        <v>37</v>
      </c>
      <c r="E408">
        <v>3</v>
      </c>
      <c r="F408">
        <v>8</v>
      </c>
      <c r="G408">
        <v>8</v>
      </c>
      <c r="H408">
        <v>71.3</v>
      </c>
      <c r="I408" t="s">
        <v>27</v>
      </c>
      <c r="J408" t="s">
        <v>18</v>
      </c>
      <c r="K408">
        <v>3.8</v>
      </c>
      <c r="L408">
        <v>1</v>
      </c>
      <c r="M408">
        <v>4.9000000000000004</v>
      </c>
      <c r="N408" t="s">
        <v>24</v>
      </c>
    </row>
    <row r="409" spans="1:14" x14ac:dyDescent="0.3">
      <c r="A409" t="s">
        <v>442</v>
      </c>
      <c r="B409">
        <v>19</v>
      </c>
      <c r="C409" t="s">
        <v>21</v>
      </c>
      <c r="D409" t="s">
        <v>29</v>
      </c>
      <c r="E409">
        <v>2</v>
      </c>
      <c r="F409">
        <v>8.56</v>
      </c>
      <c r="G409">
        <v>5</v>
      </c>
      <c r="H409">
        <v>52</v>
      </c>
      <c r="I409" t="s">
        <v>17</v>
      </c>
      <c r="J409" t="s">
        <v>33</v>
      </c>
      <c r="K409">
        <v>2.2000000000000002</v>
      </c>
      <c r="L409">
        <v>6</v>
      </c>
      <c r="M409">
        <v>4.5999999999999996</v>
      </c>
      <c r="N409" t="s">
        <v>24</v>
      </c>
    </row>
    <row r="410" spans="1:14" x14ac:dyDescent="0.3">
      <c r="A410" t="s">
        <v>443</v>
      </c>
      <c r="B410">
        <v>17</v>
      </c>
      <c r="C410" t="s">
        <v>21</v>
      </c>
      <c r="D410" t="s">
        <v>26</v>
      </c>
      <c r="E410">
        <v>1</v>
      </c>
      <c r="F410">
        <v>7.48</v>
      </c>
      <c r="G410">
        <v>9</v>
      </c>
      <c r="H410">
        <v>54</v>
      </c>
      <c r="I410" t="s">
        <v>27</v>
      </c>
      <c r="J410" t="s">
        <v>18</v>
      </c>
      <c r="K410">
        <v>1.2</v>
      </c>
      <c r="L410">
        <v>9</v>
      </c>
      <c r="M410">
        <v>8.1999999999999993</v>
      </c>
      <c r="N410" t="s">
        <v>19</v>
      </c>
    </row>
    <row r="411" spans="1:14" x14ac:dyDescent="0.3">
      <c r="A411" t="s">
        <v>444</v>
      </c>
      <c r="B411">
        <v>23</v>
      </c>
      <c r="C411" t="s">
        <v>15</v>
      </c>
      <c r="D411" t="s">
        <v>39</v>
      </c>
      <c r="E411">
        <v>3</v>
      </c>
      <c r="F411">
        <v>9.9</v>
      </c>
      <c r="G411">
        <v>8</v>
      </c>
      <c r="H411">
        <v>58.8</v>
      </c>
      <c r="I411" t="s">
        <v>30</v>
      </c>
      <c r="J411" t="s">
        <v>33</v>
      </c>
      <c r="K411">
        <v>4.5999999999999996</v>
      </c>
      <c r="L411">
        <v>1</v>
      </c>
      <c r="M411">
        <v>7.9</v>
      </c>
      <c r="N411" t="s">
        <v>24</v>
      </c>
    </row>
    <row r="412" spans="1:14" x14ac:dyDescent="0.3">
      <c r="A412" t="s">
        <v>445</v>
      </c>
      <c r="B412">
        <v>22</v>
      </c>
      <c r="C412" t="s">
        <v>21</v>
      </c>
      <c r="D412" t="s">
        <v>48</v>
      </c>
      <c r="E412">
        <v>1</v>
      </c>
      <c r="F412">
        <v>4.5</v>
      </c>
      <c r="G412">
        <v>3</v>
      </c>
      <c r="H412">
        <v>81.3</v>
      </c>
      <c r="I412" t="s">
        <v>17</v>
      </c>
      <c r="J412" t="s">
        <v>35</v>
      </c>
      <c r="K412">
        <v>0.2</v>
      </c>
      <c r="L412">
        <v>10</v>
      </c>
      <c r="M412">
        <v>4.9000000000000004</v>
      </c>
      <c r="N412" t="s">
        <v>24</v>
      </c>
    </row>
    <row r="413" spans="1:14" x14ac:dyDescent="0.3">
      <c r="A413" t="s">
        <v>446</v>
      </c>
      <c r="B413">
        <v>23</v>
      </c>
      <c r="C413" t="s">
        <v>15</v>
      </c>
      <c r="D413" t="s">
        <v>37</v>
      </c>
      <c r="E413">
        <v>1</v>
      </c>
      <c r="F413">
        <v>7.51</v>
      </c>
      <c r="G413">
        <v>8</v>
      </c>
      <c r="H413">
        <v>63.6</v>
      </c>
      <c r="I413" t="s">
        <v>30</v>
      </c>
      <c r="J413" t="s">
        <v>23</v>
      </c>
      <c r="K413">
        <v>7</v>
      </c>
      <c r="L413">
        <v>8</v>
      </c>
      <c r="M413">
        <v>5.2</v>
      </c>
      <c r="N413" t="s">
        <v>24</v>
      </c>
    </row>
    <row r="414" spans="1:14" x14ac:dyDescent="0.3">
      <c r="A414" t="s">
        <v>447</v>
      </c>
      <c r="B414">
        <v>24</v>
      </c>
      <c r="C414" t="s">
        <v>15</v>
      </c>
      <c r="D414" t="s">
        <v>39</v>
      </c>
      <c r="E414">
        <v>2</v>
      </c>
      <c r="F414">
        <v>7.63</v>
      </c>
      <c r="G414">
        <v>10</v>
      </c>
      <c r="H414">
        <v>65.900000000000006</v>
      </c>
      <c r="I414" t="s">
        <v>30</v>
      </c>
      <c r="J414" t="s">
        <v>33</v>
      </c>
      <c r="K414">
        <v>4.5999999999999996</v>
      </c>
      <c r="L414">
        <v>1</v>
      </c>
      <c r="M414">
        <v>7.7</v>
      </c>
      <c r="N414" t="s">
        <v>19</v>
      </c>
    </row>
    <row r="415" spans="1:14" x14ac:dyDescent="0.3">
      <c r="A415" t="s">
        <v>448</v>
      </c>
      <c r="B415">
        <v>18</v>
      </c>
      <c r="C415" t="s">
        <v>21</v>
      </c>
      <c r="D415" t="s">
        <v>43</v>
      </c>
      <c r="E415">
        <v>1</v>
      </c>
      <c r="F415">
        <v>6.28</v>
      </c>
      <c r="G415">
        <v>7</v>
      </c>
      <c r="H415">
        <v>94.5</v>
      </c>
      <c r="I415" t="s">
        <v>27</v>
      </c>
      <c r="J415" t="s">
        <v>23</v>
      </c>
      <c r="K415">
        <v>2.2999999999999998</v>
      </c>
      <c r="L415">
        <v>8</v>
      </c>
      <c r="M415">
        <v>8.3000000000000007</v>
      </c>
      <c r="N415" t="s">
        <v>24</v>
      </c>
    </row>
    <row r="416" spans="1:14" x14ac:dyDescent="0.3">
      <c r="A416" t="s">
        <v>449</v>
      </c>
      <c r="B416">
        <v>25</v>
      </c>
      <c r="C416" t="s">
        <v>21</v>
      </c>
      <c r="D416" t="s">
        <v>22</v>
      </c>
      <c r="E416">
        <v>1</v>
      </c>
      <c r="F416">
        <v>9.91</v>
      </c>
      <c r="G416">
        <v>6</v>
      </c>
      <c r="H416">
        <v>95.9</v>
      </c>
      <c r="I416" t="s">
        <v>17</v>
      </c>
      <c r="J416" t="s">
        <v>23</v>
      </c>
      <c r="K416">
        <v>3.7</v>
      </c>
      <c r="L416">
        <v>7</v>
      </c>
      <c r="M416">
        <v>4.9000000000000004</v>
      </c>
      <c r="N416" t="s">
        <v>19</v>
      </c>
    </row>
    <row r="417" spans="1:14" x14ac:dyDescent="0.3">
      <c r="A417" t="s">
        <v>450</v>
      </c>
      <c r="B417">
        <v>24</v>
      </c>
      <c r="C417" t="s">
        <v>21</v>
      </c>
      <c r="D417" t="s">
        <v>39</v>
      </c>
      <c r="E417">
        <v>3</v>
      </c>
      <c r="F417">
        <v>5.79</v>
      </c>
      <c r="G417">
        <v>3</v>
      </c>
      <c r="H417">
        <v>59.6</v>
      </c>
      <c r="I417" t="s">
        <v>17</v>
      </c>
      <c r="J417" t="s">
        <v>35</v>
      </c>
      <c r="K417">
        <v>2.2000000000000002</v>
      </c>
      <c r="L417">
        <v>2</v>
      </c>
      <c r="M417">
        <v>4.3</v>
      </c>
      <c r="N417" t="s">
        <v>24</v>
      </c>
    </row>
    <row r="418" spans="1:14" x14ac:dyDescent="0.3">
      <c r="A418" t="s">
        <v>451</v>
      </c>
      <c r="B418">
        <v>18</v>
      </c>
      <c r="C418" t="s">
        <v>21</v>
      </c>
      <c r="D418" t="s">
        <v>32</v>
      </c>
      <c r="E418">
        <v>3</v>
      </c>
      <c r="F418">
        <v>9.73</v>
      </c>
      <c r="G418">
        <v>2</v>
      </c>
      <c r="H418">
        <v>92</v>
      </c>
      <c r="I418" t="s">
        <v>30</v>
      </c>
      <c r="J418" t="s">
        <v>35</v>
      </c>
      <c r="K418">
        <v>5.2</v>
      </c>
      <c r="L418">
        <v>8</v>
      </c>
      <c r="M418">
        <v>7.8</v>
      </c>
      <c r="N418" t="s">
        <v>24</v>
      </c>
    </row>
    <row r="419" spans="1:14" x14ac:dyDescent="0.3">
      <c r="A419" t="s">
        <v>452</v>
      </c>
      <c r="B419">
        <v>26</v>
      </c>
      <c r="C419" t="s">
        <v>21</v>
      </c>
      <c r="D419" t="s">
        <v>26</v>
      </c>
      <c r="E419">
        <v>1</v>
      </c>
      <c r="F419">
        <v>4.5999999999999996</v>
      </c>
      <c r="G419">
        <v>9</v>
      </c>
      <c r="H419">
        <v>71.8</v>
      </c>
      <c r="I419" t="s">
        <v>17</v>
      </c>
      <c r="J419" t="s">
        <v>33</v>
      </c>
      <c r="K419">
        <v>5.6</v>
      </c>
      <c r="L419">
        <v>7</v>
      </c>
      <c r="M419">
        <v>3.6</v>
      </c>
      <c r="N419" t="s">
        <v>19</v>
      </c>
    </row>
    <row r="420" spans="1:14" x14ac:dyDescent="0.3">
      <c r="A420" t="s">
        <v>453</v>
      </c>
      <c r="B420">
        <v>18</v>
      </c>
      <c r="C420" t="s">
        <v>21</v>
      </c>
      <c r="D420" t="s">
        <v>32</v>
      </c>
      <c r="E420">
        <v>1</v>
      </c>
      <c r="F420">
        <v>4.03</v>
      </c>
      <c r="G420">
        <v>4</v>
      </c>
      <c r="H420">
        <v>52.3</v>
      </c>
      <c r="I420" t="s">
        <v>27</v>
      </c>
      <c r="J420" t="s">
        <v>54</v>
      </c>
      <c r="K420">
        <v>4.7</v>
      </c>
      <c r="L420">
        <v>2</v>
      </c>
      <c r="M420">
        <v>7.6</v>
      </c>
      <c r="N420" t="s">
        <v>24</v>
      </c>
    </row>
    <row r="421" spans="1:14" x14ac:dyDescent="0.3">
      <c r="A421" t="s">
        <v>454</v>
      </c>
      <c r="B421">
        <v>26</v>
      </c>
      <c r="C421" t="s">
        <v>15</v>
      </c>
      <c r="D421" t="s">
        <v>43</v>
      </c>
      <c r="E421">
        <v>3</v>
      </c>
      <c r="F421">
        <v>4.13</v>
      </c>
      <c r="G421">
        <v>10</v>
      </c>
      <c r="H421">
        <v>90</v>
      </c>
      <c r="I421" t="s">
        <v>30</v>
      </c>
      <c r="J421" t="s">
        <v>33</v>
      </c>
      <c r="K421">
        <v>5.5</v>
      </c>
      <c r="L421">
        <v>10</v>
      </c>
      <c r="M421">
        <v>8.6</v>
      </c>
      <c r="N421" t="s">
        <v>24</v>
      </c>
    </row>
    <row r="422" spans="1:14" x14ac:dyDescent="0.3">
      <c r="A422" t="s">
        <v>455</v>
      </c>
      <c r="B422">
        <v>22</v>
      </c>
      <c r="C422" t="s">
        <v>15</v>
      </c>
      <c r="D422" t="s">
        <v>39</v>
      </c>
      <c r="E422">
        <v>3</v>
      </c>
      <c r="F422">
        <v>5.23</v>
      </c>
      <c r="G422">
        <v>7</v>
      </c>
      <c r="H422">
        <v>77.099999999999994</v>
      </c>
      <c r="I422" t="s">
        <v>30</v>
      </c>
      <c r="J422" t="s">
        <v>35</v>
      </c>
      <c r="K422">
        <v>6.5</v>
      </c>
      <c r="L422">
        <v>9</v>
      </c>
      <c r="M422">
        <v>7.2</v>
      </c>
      <c r="N422" t="s">
        <v>19</v>
      </c>
    </row>
    <row r="423" spans="1:14" x14ac:dyDescent="0.3">
      <c r="A423" t="s">
        <v>456</v>
      </c>
      <c r="B423">
        <v>21</v>
      </c>
      <c r="C423" t="s">
        <v>15</v>
      </c>
      <c r="D423" t="s">
        <v>39</v>
      </c>
      <c r="E423">
        <v>3</v>
      </c>
      <c r="F423">
        <v>9.18</v>
      </c>
      <c r="G423">
        <v>6</v>
      </c>
      <c r="H423">
        <v>74.3</v>
      </c>
      <c r="I423" t="s">
        <v>27</v>
      </c>
      <c r="J423" t="s">
        <v>54</v>
      </c>
      <c r="K423">
        <v>1.3</v>
      </c>
      <c r="L423">
        <v>4</v>
      </c>
      <c r="M423">
        <v>6.6</v>
      </c>
      <c r="N423" t="s">
        <v>19</v>
      </c>
    </row>
    <row r="424" spans="1:14" x14ac:dyDescent="0.3">
      <c r="A424" t="s">
        <v>457</v>
      </c>
      <c r="B424">
        <v>27</v>
      </c>
      <c r="C424" t="s">
        <v>21</v>
      </c>
      <c r="D424" t="s">
        <v>48</v>
      </c>
      <c r="E424">
        <v>2</v>
      </c>
      <c r="F424">
        <v>8.66</v>
      </c>
      <c r="G424">
        <v>7</v>
      </c>
      <c r="H424">
        <v>99</v>
      </c>
      <c r="I424" t="s">
        <v>17</v>
      </c>
      <c r="J424" t="s">
        <v>35</v>
      </c>
      <c r="K424">
        <v>6.5</v>
      </c>
      <c r="L424">
        <v>9</v>
      </c>
      <c r="M424">
        <v>9.1999999999999993</v>
      </c>
      <c r="N424" t="s">
        <v>24</v>
      </c>
    </row>
    <row r="425" spans="1:14" x14ac:dyDescent="0.3">
      <c r="A425" t="s">
        <v>458</v>
      </c>
      <c r="B425">
        <v>24</v>
      </c>
      <c r="C425" t="s">
        <v>15</v>
      </c>
      <c r="D425" t="s">
        <v>26</v>
      </c>
      <c r="E425">
        <v>2</v>
      </c>
      <c r="F425">
        <v>7.77</v>
      </c>
      <c r="G425">
        <v>7</v>
      </c>
      <c r="H425">
        <v>60</v>
      </c>
      <c r="I425" t="s">
        <v>17</v>
      </c>
      <c r="J425" t="s">
        <v>33</v>
      </c>
      <c r="K425">
        <v>3.6</v>
      </c>
      <c r="L425">
        <v>5</v>
      </c>
      <c r="M425">
        <v>4.7</v>
      </c>
      <c r="N425" t="s">
        <v>24</v>
      </c>
    </row>
    <row r="426" spans="1:14" x14ac:dyDescent="0.3">
      <c r="A426" t="s">
        <v>459</v>
      </c>
      <c r="B426">
        <v>27</v>
      </c>
      <c r="C426" t="s">
        <v>21</v>
      </c>
      <c r="D426" t="s">
        <v>26</v>
      </c>
      <c r="E426">
        <v>2</v>
      </c>
      <c r="F426">
        <v>5.81</v>
      </c>
      <c r="G426">
        <v>5</v>
      </c>
      <c r="H426">
        <v>67.5</v>
      </c>
      <c r="I426" t="s">
        <v>27</v>
      </c>
      <c r="J426" t="s">
        <v>23</v>
      </c>
      <c r="K426">
        <v>6.9</v>
      </c>
      <c r="L426">
        <v>3</v>
      </c>
      <c r="M426">
        <v>3.8</v>
      </c>
      <c r="N426" t="s">
        <v>24</v>
      </c>
    </row>
    <row r="427" spans="1:14" x14ac:dyDescent="0.3">
      <c r="A427" t="s">
        <v>460</v>
      </c>
      <c r="B427">
        <v>19</v>
      </c>
      <c r="C427" t="s">
        <v>21</v>
      </c>
      <c r="D427" t="s">
        <v>43</v>
      </c>
      <c r="E427">
        <v>2</v>
      </c>
      <c r="F427">
        <v>5.76</v>
      </c>
      <c r="G427">
        <v>7</v>
      </c>
      <c r="H427">
        <v>96.3</v>
      </c>
      <c r="I427" t="s">
        <v>30</v>
      </c>
      <c r="J427" t="s">
        <v>18</v>
      </c>
      <c r="K427">
        <v>7.9</v>
      </c>
      <c r="L427">
        <v>1</v>
      </c>
      <c r="M427">
        <v>5.5</v>
      </c>
      <c r="N427" t="s">
        <v>19</v>
      </c>
    </row>
    <row r="428" spans="1:14" x14ac:dyDescent="0.3">
      <c r="A428" t="s">
        <v>461</v>
      </c>
      <c r="B428">
        <v>27</v>
      </c>
      <c r="C428" t="s">
        <v>15</v>
      </c>
      <c r="D428" t="s">
        <v>32</v>
      </c>
      <c r="E428">
        <v>4</v>
      </c>
      <c r="F428">
        <v>4.3099999999999996</v>
      </c>
      <c r="G428">
        <v>8</v>
      </c>
      <c r="H428">
        <v>71.599999999999994</v>
      </c>
      <c r="I428" t="s">
        <v>30</v>
      </c>
      <c r="J428" t="s">
        <v>54</v>
      </c>
      <c r="K428">
        <v>0.7</v>
      </c>
      <c r="L428">
        <v>7</v>
      </c>
      <c r="M428">
        <v>4.7</v>
      </c>
      <c r="N428" t="s">
        <v>19</v>
      </c>
    </row>
    <row r="429" spans="1:14" x14ac:dyDescent="0.3">
      <c r="A429" t="s">
        <v>462</v>
      </c>
      <c r="B429">
        <v>26</v>
      </c>
      <c r="C429" t="s">
        <v>21</v>
      </c>
      <c r="D429" t="s">
        <v>37</v>
      </c>
      <c r="E429">
        <v>3</v>
      </c>
      <c r="F429">
        <v>8.93</v>
      </c>
      <c r="G429">
        <v>5</v>
      </c>
      <c r="H429">
        <v>72.099999999999994</v>
      </c>
      <c r="I429" t="s">
        <v>27</v>
      </c>
      <c r="J429" t="s">
        <v>23</v>
      </c>
      <c r="K429">
        <v>4.4000000000000004</v>
      </c>
      <c r="L429">
        <v>6</v>
      </c>
      <c r="M429">
        <v>7</v>
      </c>
      <c r="N429" t="s">
        <v>24</v>
      </c>
    </row>
    <row r="430" spans="1:14" x14ac:dyDescent="0.3">
      <c r="A430" t="s">
        <v>463</v>
      </c>
      <c r="B430">
        <v>24</v>
      </c>
      <c r="C430" t="s">
        <v>15</v>
      </c>
      <c r="D430" t="s">
        <v>29</v>
      </c>
      <c r="E430">
        <v>1</v>
      </c>
      <c r="F430">
        <v>7.02</v>
      </c>
      <c r="G430">
        <v>3</v>
      </c>
      <c r="H430">
        <v>76.099999999999994</v>
      </c>
      <c r="I430" t="s">
        <v>27</v>
      </c>
      <c r="J430" t="s">
        <v>23</v>
      </c>
      <c r="K430">
        <v>8</v>
      </c>
      <c r="L430">
        <v>6</v>
      </c>
      <c r="M430">
        <v>8.3000000000000007</v>
      </c>
      <c r="N430" t="s">
        <v>24</v>
      </c>
    </row>
    <row r="431" spans="1:14" x14ac:dyDescent="0.3">
      <c r="A431" t="s">
        <v>464</v>
      </c>
      <c r="B431">
        <v>26</v>
      </c>
      <c r="C431" t="s">
        <v>15</v>
      </c>
      <c r="D431" t="s">
        <v>29</v>
      </c>
      <c r="E431">
        <v>2</v>
      </c>
      <c r="F431">
        <v>4.78</v>
      </c>
      <c r="G431">
        <v>6</v>
      </c>
      <c r="H431">
        <v>67.5</v>
      </c>
      <c r="I431" t="s">
        <v>27</v>
      </c>
      <c r="J431" t="s">
        <v>23</v>
      </c>
      <c r="K431">
        <v>3.4</v>
      </c>
      <c r="L431">
        <v>7</v>
      </c>
      <c r="M431">
        <v>9.6999999999999993</v>
      </c>
      <c r="N431" t="s">
        <v>19</v>
      </c>
    </row>
    <row r="432" spans="1:14" x14ac:dyDescent="0.3">
      <c r="A432" t="s">
        <v>465</v>
      </c>
      <c r="B432">
        <v>27</v>
      </c>
      <c r="C432" t="s">
        <v>21</v>
      </c>
      <c r="D432" t="s">
        <v>29</v>
      </c>
      <c r="E432">
        <v>1</v>
      </c>
      <c r="F432">
        <v>5.99</v>
      </c>
      <c r="G432">
        <v>7</v>
      </c>
      <c r="H432">
        <v>97.6</v>
      </c>
      <c r="I432" t="s">
        <v>17</v>
      </c>
      <c r="J432" t="s">
        <v>54</v>
      </c>
      <c r="K432">
        <v>5.0999999999999996</v>
      </c>
      <c r="L432">
        <v>3</v>
      </c>
      <c r="M432">
        <v>8</v>
      </c>
      <c r="N432" t="s">
        <v>24</v>
      </c>
    </row>
    <row r="433" spans="1:14" x14ac:dyDescent="0.3">
      <c r="A433" t="s">
        <v>466</v>
      </c>
      <c r="B433">
        <v>26</v>
      </c>
      <c r="C433" t="s">
        <v>15</v>
      </c>
      <c r="D433" t="s">
        <v>32</v>
      </c>
      <c r="E433">
        <v>2</v>
      </c>
      <c r="F433">
        <v>8.76</v>
      </c>
      <c r="G433">
        <v>2</v>
      </c>
      <c r="H433">
        <v>89.3</v>
      </c>
      <c r="I433" t="s">
        <v>27</v>
      </c>
      <c r="J433" t="s">
        <v>33</v>
      </c>
      <c r="K433">
        <v>4.5999999999999996</v>
      </c>
      <c r="L433">
        <v>4</v>
      </c>
      <c r="M433">
        <v>9</v>
      </c>
      <c r="N433" t="s">
        <v>24</v>
      </c>
    </row>
    <row r="434" spans="1:14" x14ac:dyDescent="0.3">
      <c r="A434" t="s">
        <v>467</v>
      </c>
      <c r="B434">
        <v>17</v>
      </c>
      <c r="C434" t="s">
        <v>21</v>
      </c>
      <c r="D434" t="s">
        <v>37</v>
      </c>
      <c r="E434">
        <v>2</v>
      </c>
      <c r="F434">
        <v>9.86</v>
      </c>
      <c r="G434">
        <v>4</v>
      </c>
      <c r="H434">
        <v>51.8</v>
      </c>
      <c r="I434" t="s">
        <v>17</v>
      </c>
      <c r="J434" t="s">
        <v>18</v>
      </c>
      <c r="K434">
        <v>6.1</v>
      </c>
      <c r="L434">
        <v>4</v>
      </c>
      <c r="M434">
        <v>6.1</v>
      </c>
      <c r="N434" t="s">
        <v>19</v>
      </c>
    </row>
    <row r="435" spans="1:14" x14ac:dyDescent="0.3">
      <c r="A435" t="s">
        <v>468</v>
      </c>
      <c r="B435">
        <v>26</v>
      </c>
      <c r="C435" t="s">
        <v>15</v>
      </c>
      <c r="D435" t="s">
        <v>22</v>
      </c>
      <c r="E435">
        <v>1</v>
      </c>
      <c r="F435">
        <v>6.36</v>
      </c>
      <c r="G435">
        <v>9</v>
      </c>
      <c r="H435">
        <v>74.7</v>
      </c>
      <c r="I435" t="s">
        <v>27</v>
      </c>
      <c r="J435" t="s">
        <v>33</v>
      </c>
      <c r="K435">
        <v>4.4000000000000004</v>
      </c>
      <c r="L435">
        <v>5</v>
      </c>
      <c r="M435">
        <v>4</v>
      </c>
      <c r="N435" t="s">
        <v>24</v>
      </c>
    </row>
    <row r="436" spans="1:14" x14ac:dyDescent="0.3">
      <c r="A436" t="s">
        <v>469</v>
      </c>
      <c r="B436">
        <v>23</v>
      </c>
      <c r="C436" t="s">
        <v>15</v>
      </c>
      <c r="D436" t="s">
        <v>32</v>
      </c>
      <c r="E436">
        <v>4</v>
      </c>
      <c r="F436">
        <v>8.86</v>
      </c>
      <c r="G436">
        <v>8</v>
      </c>
      <c r="H436">
        <v>87</v>
      </c>
      <c r="I436" t="s">
        <v>27</v>
      </c>
      <c r="J436" t="s">
        <v>35</v>
      </c>
      <c r="K436">
        <v>4.8</v>
      </c>
      <c r="L436">
        <v>4</v>
      </c>
      <c r="M436">
        <v>9.8000000000000007</v>
      </c>
      <c r="N436" t="s">
        <v>19</v>
      </c>
    </row>
    <row r="437" spans="1:14" x14ac:dyDescent="0.3">
      <c r="A437" t="s">
        <v>470</v>
      </c>
      <c r="B437">
        <v>25</v>
      </c>
      <c r="C437" t="s">
        <v>15</v>
      </c>
      <c r="D437" t="s">
        <v>37</v>
      </c>
      <c r="E437">
        <v>3</v>
      </c>
      <c r="F437">
        <v>4.71</v>
      </c>
      <c r="G437">
        <v>10</v>
      </c>
      <c r="H437">
        <v>59.6</v>
      </c>
      <c r="I437" t="s">
        <v>30</v>
      </c>
      <c r="J437" t="s">
        <v>54</v>
      </c>
      <c r="K437">
        <v>4.8</v>
      </c>
      <c r="L437">
        <v>8</v>
      </c>
      <c r="M437">
        <v>5.0999999999999996</v>
      </c>
      <c r="N437" t="s">
        <v>19</v>
      </c>
    </row>
    <row r="438" spans="1:14" x14ac:dyDescent="0.3">
      <c r="A438" t="s">
        <v>471</v>
      </c>
      <c r="B438">
        <v>20</v>
      </c>
      <c r="C438" t="s">
        <v>21</v>
      </c>
      <c r="D438" t="s">
        <v>37</v>
      </c>
      <c r="E438">
        <v>3</v>
      </c>
      <c r="F438">
        <v>4.53</v>
      </c>
      <c r="G438">
        <v>3</v>
      </c>
      <c r="H438">
        <v>53.7</v>
      </c>
      <c r="I438" t="s">
        <v>17</v>
      </c>
      <c r="J438" t="s">
        <v>33</v>
      </c>
      <c r="K438">
        <v>8.1</v>
      </c>
      <c r="L438">
        <v>10</v>
      </c>
      <c r="M438">
        <v>4.2</v>
      </c>
      <c r="N438" t="s">
        <v>24</v>
      </c>
    </row>
    <row r="439" spans="1:14" x14ac:dyDescent="0.3">
      <c r="A439" t="s">
        <v>472</v>
      </c>
      <c r="B439">
        <v>24</v>
      </c>
      <c r="C439" t="s">
        <v>15</v>
      </c>
      <c r="D439" t="s">
        <v>48</v>
      </c>
      <c r="E439">
        <v>1</v>
      </c>
      <c r="F439">
        <v>5.37</v>
      </c>
      <c r="G439">
        <v>3</v>
      </c>
      <c r="H439">
        <v>76.900000000000006</v>
      </c>
      <c r="I439" t="s">
        <v>27</v>
      </c>
      <c r="J439" t="s">
        <v>18</v>
      </c>
      <c r="K439">
        <v>5.2</v>
      </c>
      <c r="L439">
        <v>8</v>
      </c>
      <c r="M439">
        <v>4.9000000000000004</v>
      </c>
      <c r="N439" t="s">
        <v>24</v>
      </c>
    </row>
    <row r="440" spans="1:14" x14ac:dyDescent="0.3">
      <c r="A440" t="s">
        <v>473</v>
      </c>
      <c r="B440">
        <v>21</v>
      </c>
      <c r="C440" t="s">
        <v>21</v>
      </c>
      <c r="D440" t="s">
        <v>37</v>
      </c>
      <c r="E440">
        <v>2</v>
      </c>
      <c r="F440">
        <v>8.1</v>
      </c>
      <c r="G440">
        <v>9</v>
      </c>
      <c r="H440">
        <v>57.8</v>
      </c>
      <c r="I440" t="s">
        <v>17</v>
      </c>
      <c r="J440" t="s">
        <v>18</v>
      </c>
      <c r="K440">
        <v>4.5999999999999996</v>
      </c>
      <c r="L440">
        <v>8</v>
      </c>
      <c r="M440">
        <v>6.9</v>
      </c>
      <c r="N440" t="s">
        <v>24</v>
      </c>
    </row>
    <row r="441" spans="1:14" x14ac:dyDescent="0.3">
      <c r="A441" t="s">
        <v>474</v>
      </c>
      <c r="B441">
        <v>21</v>
      </c>
      <c r="C441" t="s">
        <v>21</v>
      </c>
      <c r="D441" t="s">
        <v>26</v>
      </c>
      <c r="E441">
        <v>1</v>
      </c>
      <c r="F441">
        <v>7.53</v>
      </c>
      <c r="G441">
        <v>6</v>
      </c>
      <c r="H441">
        <v>74.2</v>
      </c>
      <c r="I441" t="s">
        <v>27</v>
      </c>
      <c r="J441" t="s">
        <v>35</v>
      </c>
      <c r="K441">
        <v>3.9</v>
      </c>
      <c r="L441">
        <v>8</v>
      </c>
      <c r="M441">
        <v>7</v>
      </c>
      <c r="N441" t="s">
        <v>24</v>
      </c>
    </row>
    <row r="442" spans="1:14" x14ac:dyDescent="0.3">
      <c r="A442" t="s">
        <v>475</v>
      </c>
      <c r="B442">
        <v>17</v>
      </c>
      <c r="C442" t="s">
        <v>15</v>
      </c>
      <c r="D442" t="s">
        <v>37</v>
      </c>
      <c r="E442">
        <v>2</v>
      </c>
      <c r="F442">
        <v>7.97</v>
      </c>
      <c r="G442">
        <v>7</v>
      </c>
      <c r="H442">
        <v>91.1</v>
      </c>
      <c r="I442" t="s">
        <v>30</v>
      </c>
      <c r="J442" t="s">
        <v>54</v>
      </c>
      <c r="K442">
        <v>0.1</v>
      </c>
      <c r="L442">
        <v>5</v>
      </c>
      <c r="M442">
        <v>7.7</v>
      </c>
      <c r="N442" t="s">
        <v>24</v>
      </c>
    </row>
    <row r="443" spans="1:14" x14ac:dyDescent="0.3">
      <c r="A443" t="s">
        <v>476</v>
      </c>
      <c r="B443">
        <v>26</v>
      </c>
      <c r="C443" t="s">
        <v>21</v>
      </c>
      <c r="D443" t="s">
        <v>43</v>
      </c>
      <c r="E443">
        <v>2</v>
      </c>
      <c r="F443">
        <v>6.01</v>
      </c>
      <c r="G443">
        <v>5</v>
      </c>
      <c r="H443">
        <v>67.7</v>
      </c>
      <c r="I443" t="s">
        <v>17</v>
      </c>
      <c r="J443" t="s">
        <v>54</v>
      </c>
      <c r="K443">
        <v>5.0999999999999996</v>
      </c>
      <c r="L443">
        <v>5</v>
      </c>
      <c r="M443">
        <v>8.9</v>
      </c>
      <c r="N443" t="s">
        <v>24</v>
      </c>
    </row>
    <row r="444" spans="1:14" x14ac:dyDescent="0.3">
      <c r="A444" t="s">
        <v>477</v>
      </c>
      <c r="B444">
        <v>27</v>
      </c>
      <c r="C444" t="s">
        <v>21</v>
      </c>
      <c r="D444" t="s">
        <v>43</v>
      </c>
      <c r="E444">
        <v>3</v>
      </c>
      <c r="F444">
        <v>4.49</v>
      </c>
      <c r="G444">
        <v>3</v>
      </c>
      <c r="H444">
        <v>77.5</v>
      </c>
      <c r="I444" t="s">
        <v>17</v>
      </c>
      <c r="J444" t="s">
        <v>33</v>
      </c>
      <c r="K444">
        <v>8.9</v>
      </c>
      <c r="L444">
        <v>2</v>
      </c>
      <c r="M444">
        <v>9.1</v>
      </c>
      <c r="N444" t="s">
        <v>19</v>
      </c>
    </row>
    <row r="445" spans="1:14" x14ac:dyDescent="0.3">
      <c r="A445" t="s">
        <v>478</v>
      </c>
      <c r="B445">
        <v>24</v>
      </c>
      <c r="C445" t="s">
        <v>21</v>
      </c>
      <c r="D445" t="s">
        <v>48</v>
      </c>
      <c r="E445">
        <v>2</v>
      </c>
      <c r="F445">
        <v>9.93</v>
      </c>
      <c r="G445">
        <v>4</v>
      </c>
      <c r="H445">
        <v>50.9</v>
      </c>
      <c r="I445" t="s">
        <v>17</v>
      </c>
      <c r="J445" t="s">
        <v>18</v>
      </c>
      <c r="K445">
        <v>4.0999999999999996</v>
      </c>
      <c r="L445">
        <v>6</v>
      </c>
      <c r="M445">
        <v>3.8</v>
      </c>
      <c r="N445" t="s">
        <v>24</v>
      </c>
    </row>
    <row r="446" spans="1:14" x14ac:dyDescent="0.3">
      <c r="A446" t="s">
        <v>479</v>
      </c>
      <c r="B446">
        <v>18</v>
      </c>
      <c r="C446" t="s">
        <v>15</v>
      </c>
      <c r="D446" t="s">
        <v>39</v>
      </c>
      <c r="E446">
        <v>1</v>
      </c>
      <c r="F446">
        <v>8.5299999999999994</v>
      </c>
      <c r="G446">
        <v>10</v>
      </c>
      <c r="H446">
        <v>83.6</v>
      </c>
      <c r="I446" t="s">
        <v>17</v>
      </c>
      <c r="J446" t="s">
        <v>35</v>
      </c>
      <c r="K446">
        <v>7.7</v>
      </c>
      <c r="L446">
        <v>9</v>
      </c>
      <c r="M446">
        <v>6.4</v>
      </c>
      <c r="N446" t="s">
        <v>19</v>
      </c>
    </row>
    <row r="447" spans="1:14" x14ac:dyDescent="0.3">
      <c r="A447" t="s">
        <v>480</v>
      </c>
      <c r="B447">
        <v>23</v>
      </c>
      <c r="C447" t="s">
        <v>15</v>
      </c>
      <c r="D447" t="s">
        <v>26</v>
      </c>
      <c r="E447">
        <v>1</v>
      </c>
      <c r="F447">
        <v>9.2100000000000009</v>
      </c>
      <c r="G447">
        <v>6</v>
      </c>
      <c r="H447">
        <v>74.5</v>
      </c>
      <c r="I447" t="s">
        <v>30</v>
      </c>
      <c r="J447" t="s">
        <v>23</v>
      </c>
      <c r="K447">
        <v>5.7</v>
      </c>
      <c r="L447">
        <v>8</v>
      </c>
      <c r="M447">
        <v>4.2</v>
      </c>
      <c r="N447" t="s">
        <v>19</v>
      </c>
    </row>
    <row r="448" spans="1:14" x14ac:dyDescent="0.3">
      <c r="A448" t="s">
        <v>481</v>
      </c>
      <c r="B448">
        <v>26</v>
      </c>
      <c r="C448" t="s">
        <v>21</v>
      </c>
      <c r="D448" t="s">
        <v>39</v>
      </c>
      <c r="E448">
        <v>3</v>
      </c>
      <c r="F448">
        <v>9.2200000000000006</v>
      </c>
      <c r="G448">
        <v>4</v>
      </c>
      <c r="H448">
        <v>99.2</v>
      </c>
      <c r="I448" t="s">
        <v>30</v>
      </c>
      <c r="J448" t="s">
        <v>54</v>
      </c>
      <c r="K448">
        <v>2.1</v>
      </c>
      <c r="L448">
        <v>1</v>
      </c>
      <c r="M448">
        <v>8.9</v>
      </c>
      <c r="N448" t="s">
        <v>19</v>
      </c>
    </row>
    <row r="449" spans="1:14" x14ac:dyDescent="0.3">
      <c r="A449" t="s">
        <v>482</v>
      </c>
      <c r="B449">
        <v>17</v>
      </c>
      <c r="C449" t="s">
        <v>15</v>
      </c>
      <c r="D449" t="s">
        <v>48</v>
      </c>
      <c r="E449">
        <v>2</v>
      </c>
      <c r="F449">
        <v>4.62</v>
      </c>
      <c r="G449">
        <v>4</v>
      </c>
      <c r="H449">
        <v>60.7</v>
      </c>
      <c r="I449" t="s">
        <v>30</v>
      </c>
      <c r="J449" t="s">
        <v>18</v>
      </c>
      <c r="K449">
        <v>8.1999999999999993</v>
      </c>
      <c r="L449">
        <v>8</v>
      </c>
      <c r="M449">
        <v>5.7</v>
      </c>
      <c r="N449" t="s">
        <v>19</v>
      </c>
    </row>
    <row r="450" spans="1:14" x14ac:dyDescent="0.3">
      <c r="A450" t="s">
        <v>483</v>
      </c>
      <c r="B450">
        <v>19</v>
      </c>
      <c r="C450" t="s">
        <v>21</v>
      </c>
      <c r="D450" t="s">
        <v>48</v>
      </c>
      <c r="E450">
        <v>3</v>
      </c>
      <c r="F450">
        <v>4.5199999999999996</v>
      </c>
      <c r="G450">
        <v>3</v>
      </c>
      <c r="H450">
        <v>87.7</v>
      </c>
      <c r="I450" t="s">
        <v>17</v>
      </c>
      <c r="J450" t="s">
        <v>35</v>
      </c>
      <c r="K450">
        <v>3.3</v>
      </c>
      <c r="L450">
        <v>9</v>
      </c>
      <c r="M450">
        <v>5.5</v>
      </c>
      <c r="N450" t="s">
        <v>19</v>
      </c>
    </row>
    <row r="451" spans="1:14" x14ac:dyDescent="0.3">
      <c r="A451" t="s">
        <v>484</v>
      </c>
      <c r="B451">
        <v>19</v>
      </c>
      <c r="C451" t="s">
        <v>21</v>
      </c>
      <c r="D451" t="s">
        <v>16</v>
      </c>
      <c r="E451">
        <v>1</v>
      </c>
      <c r="F451">
        <v>8.2899999999999991</v>
      </c>
      <c r="G451">
        <v>6</v>
      </c>
      <c r="H451">
        <v>81.8</v>
      </c>
      <c r="I451" t="s">
        <v>27</v>
      </c>
      <c r="J451" t="s">
        <v>33</v>
      </c>
      <c r="K451">
        <v>8.9</v>
      </c>
      <c r="L451">
        <v>1</v>
      </c>
      <c r="M451">
        <v>5.3</v>
      </c>
      <c r="N451" t="s">
        <v>19</v>
      </c>
    </row>
    <row r="452" spans="1:14" x14ac:dyDescent="0.3">
      <c r="A452" t="s">
        <v>485</v>
      </c>
      <c r="B452">
        <v>20</v>
      </c>
      <c r="C452" t="s">
        <v>15</v>
      </c>
      <c r="D452" t="s">
        <v>43</v>
      </c>
      <c r="E452">
        <v>3</v>
      </c>
      <c r="F452">
        <v>7.8</v>
      </c>
      <c r="G452">
        <v>4</v>
      </c>
      <c r="H452">
        <v>65.599999999999994</v>
      </c>
      <c r="I452" t="s">
        <v>17</v>
      </c>
      <c r="J452" t="s">
        <v>54</v>
      </c>
      <c r="K452">
        <v>8</v>
      </c>
      <c r="L452">
        <v>8</v>
      </c>
      <c r="M452">
        <v>9.5</v>
      </c>
      <c r="N452" t="s">
        <v>19</v>
      </c>
    </row>
    <row r="453" spans="1:14" x14ac:dyDescent="0.3">
      <c r="A453" t="s">
        <v>486</v>
      </c>
      <c r="B453">
        <v>26</v>
      </c>
      <c r="C453" t="s">
        <v>15</v>
      </c>
      <c r="D453" t="s">
        <v>26</v>
      </c>
      <c r="E453">
        <v>2</v>
      </c>
      <c r="F453">
        <v>5.35</v>
      </c>
      <c r="G453">
        <v>5</v>
      </c>
      <c r="H453">
        <v>88.6</v>
      </c>
      <c r="I453" t="s">
        <v>27</v>
      </c>
      <c r="J453" t="s">
        <v>54</v>
      </c>
      <c r="K453">
        <v>4.7</v>
      </c>
      <c r="L453">
        <v>2</v>
      </c>
      <c r="M453">
        <v>9</v>
      </c>
      <c r="N453" t="s">
        <v>19</v>
      </c>
    </row>
    <row r="454" spans="1:14" x14ac:dyDescent="0.3">
      <c r="A454" t="s">
        <v>487</v>
      </c>
      <c r="B454">
        <v>17</v>
      </c>
      <c r="C454" t="s">
        <v>21</v>
      </c>
      <c r="D454" t="s">
        <v>22</v>
      </c>
      <c r="E454">
        <v>2</v>
      </c>
      <c r="F454">
        <v>7.4</v>
      </c>
      <c r="G454">
        <v>8</v>
      </c>
      <c r="H454">
        <v>83.5</v>
      </c>
      <c r="I454" t="s">
        <v>17</v>
      </c>
      <c r="J454" t="s">
        <v>54</v>
      </c>
      <c r="K454">
        <v>7.4</v>
      </c>
      <c r="L454">
        <v>4</v>
      </c>
      <c r="M454">
        <v>5.8</v>
      </c>
      <c r="N454" t="s">
        <v>19</v>
      </c>
    </row>
    <row r="455" spans="1:14" x14ac:dyDescent="0.3">
      <c r="A455" t="s">
        <v>488</v>
      </c>
      <c r="B455">
        <v>23</v>
      </c>
      <c r="C455" t="s">
        <v>21</v>
      </c>
      <c r="D455" t="s">
        <v>22</v>
      </c>
      <c r="E455">
        <v>1</v>
      </c>
      <c r="F455">
        <v>9.14</v>
      </c>
      <c r="G455">
        <v>7</v>
      </c>
      <c r="H455">
        <v>63.4</v>
      </c>
      <c r="I455" t="s">
        <v>17</v>
      </c>
      <c r="J455" t="s">
        <v>54</v>
      </c>
      <c r="K455">
        <v>3</v>
      </c>
      <c r="L455">
        <v>8</v>
      </c>
      <c r="M455">
        <v>10</v>
      </c>
      <c r="N455" t="s">
        <v>19</v>
      </c>
    </row>
    <row r="456" spans="1:14" x14ac:dyDescent="0.3">
      <c r="A456" t="s">
        <v>489</v>
      </c>
      <c r="B456">
        <v>20</v>
      </c>
      <c r="C456" t="s">
        <v>21</v>
      </c>
      <c r="D456" t="s">
        <v>43</v>
      </c>
      <c r="E456">
        <v>3</v>
      </c>
      <c r="F456">
        <v>7.12</v>
      </c>
      <c r="G456">
        <v>7</v>
      </c>
      <c r="H456">
        <v>51.8</v>
      </c>
      <c r="I456" t="s">
        <v>17</v>
      </c>
      <c r="J456" t="s">
        <v>33</v>
      </c>
      <c r="K456">
        <v>5.4</v>
      </c>
      <c r="L456">
        <v>3</v>
      </c>
      <c r="M456">
        <v>7.2</v>
      </c>
      <c r="N456" t="s">
        <v>24</v>
      </c>
    </row>
    <row r="457" spans="1:14" x14ac:dyDescent="0.3">
      <c r="A457" t="s">
        <v>490</v>
      </c>
      <c r="B457">
        <v>21</v>
      </c>
      <c r="C457" t="s">
        <v>15</v>
      </c>
      <c r="D457" t="s">
        <v>29</v>
      </c>
      <c r="E457">
        <v>1</v>
      </c>
      <c r="F457">
        <v>9.9499999999999993</v>
      </c>
      <c r="G457">
        <v>6</v>
      </c>
      <c r="H457">
        <v>89.6</v>
      </c>
      <c r="I457" t="s">
        <v>30</v>
      </c>
      <c r="J457" t="s">
        <v>54</v>
      </c>
      <c r="K457">
        <v>4.9000000000000004</v>
      </c>
      <c r="L457">
        <v>3</v>
      </c>
      <c r="M457">
        <v>8.6</v>
      </c>
      <c r="N457" t="s">
        <v>19</v>
      </c>
    </row>
    <row r="458" spans="1:14" x14ac:dyDescent="0.3">
      <c r="A458" t="s">
        <v>491</v>
      </c>
      <c r="B458">
        <v>25</v>
      </c>
      <c r="C458" t="s">
        <v>15</v>
      </c>
      <c r="D458" t="s">
        <v>32</v>
      </c>
      <c r="E458">
        <v>1</v>
      </c>
      <c r="F458">
        <v>5.13</v>
      </c>
      <c r="G458">
        <v>7</v>
      </c>
      <c r="H458">
        <v>80.3</v>
      </c>
      <c r="I458" t="s">
        <v>30</v>
      </c>
      <c r="J458" t="s">
        <v>35</v>
      </c>
      <c r="K458">
        <v>2</v>
      </c>
      <c r="L458">
        <v>1</v>
      </c>
      <c r="M458">
        <v>5.3</v>
      </c>
      <c r="N458" t="s">
        <v>24</v>
      </c>
    </row>
    <row r="459" spans="1:14" x14ac:dyDescent="0.3">
      <c r="A459" t="s">
        <v>492</v>
      </c>
      <c r="B459">
        <v>23</v>
      </c>
      <c r="C459" t="s">
        <v>15</v>
      </c>
      <c r="D459" t="s">
        <v>48</v>
      </c>
      <c r="E459">
        <v>2</v>
      </c>
      <c r="F459">
        <v>5.05</v>
      </c>
      <c r="G459">
        <v>9</v>
      </c>
      <c r="H459">
        <v>81</v>
      </c>
      <c r="I459" t="s">
        <v>17</v>
      </c>
      <c r="J459" t="s">
        <v>23</v>
      </c>
      <c r="K459">
        <v>5.8</v>
      </c>
      <c r="L459">
        <v>2</v>
      </c>
      <c r="M459">
        <v>9.9</v>
      </c>
      <c r="N459" t="s">
        <v>19</v>
      </c>
    </row>
    <row r="460" spans="1:14" x14ac:dyDescent="0.3">
      <c r="A460" t="s">
        <v>493</v>
      </c>
      <c r="B460">
        <v>20</v>
      </c>
      <c r="C460" t="s">
        <v>21</v>
      </c>
      <c r="D460" t="s">
        <v>26</v>
      </c>
      <c r="E460">
        <v>1</v>
      </c>
      <c r="F460">
        <v>4.08</v>
      </c>
      <c r="G460">
        <v>3</v>
      </c>
      <c r="H460">
        <v>58.7</v>
      </c>
      <c r="I460" t="s">
        <v>17</v>
      </c>
      <c r="J460" t="s">
        <v>23</v>
      </c>
      <c r="K460">
        <v>8.1</v>
      </c>
      <c r="L460">
        <v>3</v>
      </c>
      <c r="M460">
        <v>5.3</v>
      </c>
      <c r="N460" t="s">
        <v>24</v>
      </c>
    </row>
    <row r="461" spans="1:14" x14ac:dyDescent="0.3">
      <c r="A461" t="s">
        <v>494</v>
      </c>
      <c r="B461">
        <v>24</v>
      </c>
      <c r="C461" t="s">
        <v>15</v>
      </c>
      <c r="D461" t="s">
        <v>37</v>
      </c>
      <c r="E461">
        <v>2</v>
      </c>
      <c r="F461">
        <v>4.3099999999999996</v>
      </c>
      <c r="G461">
        <v>9</v>
      </c>
      <c r="H461">
        <v>67.900000000000006</v>
      </c>
      <c r="I461" t="s">
        <v>17</v>
      </c>
      <c r="J461" t="s">
        <v>33</v>
      </c>
      <c r="K461">
        <v>1.4</v>
      </c>
      <c r="L461">
        <v>4</v>
      </c>
      <c r="M461">
        <v>4.3</v>
      </c>
      <c r="N461" t="s">
        <v>19</v>
      </c>
    </row>
    <row r="462" spans="1:14" x14ac:dyDescent="0.3">
      <c r="A462" t="s">
        <v>495</v>
      </c>
      <c r="B462">
        <v>24</v>
      </c>
      <c r="C462" t="s">
        <v>21</v>
      </c>
      <c r="D462" t="s">
        <v>32</v>
      </c>
      <c r="E462">
        <v>3</v>
      </c>
      <c r="F462">
        <v>8.02</v>
      </c>
      <c r="G462">
        <v>7</v>
      </c>
      <c r="H462">
        <v>80.7</v>
      </c>
      <c r="I462" t="s">
        <v>30</v>
      </c>
      <c r="J462" t="s">
        <v>33</v>
      </c>
      <c r="K462">
        <v>6.4</v>
      </c>
      <c r="L462">
        <v>2</v>
      </c>
      <c r="M462">
        <v>6.8</v>
      </c>
      <c r="N462" t="s">
        <v>24</v>
      </c>
    </row>
    <row r="463" spans="1:14" x14ac:dyDescent="0.3">
      <c r="A463" t="s">
        <v>496</v>
      </c>
      <c r="B463">
        <v>26</v>
      </c>
      <c r="C463" t="s">
        <v>15</v>
      </c>
      <c r="D463" t="s">
        <v>16</v>
      </c>
      <c r="E463">
        <v>1</v>
      </c>
      <c r="F463">
        <v>9.1999999999999993</v>
      </c>
      <c r="G463">
        <v>2</v>
      </c>
      <c r="H463">
        <v>61.2</v>
      </c>
      <c r="I463" t="s">
        <v>17</v>
      </c>
      <c r="J463" t="s">
        <v>18</v>
      </c>
      <c r="K463">
        <v>0.7</v>
      </c>
      <c r="L463">
        <v>2</v>
      </c>
      <c r="M463">
        <v>5.7</v>
      </c>
      <c r="N463" t="s">
        <v>19</v>
      </c>
    </row>
    <row r="464" spans="1:14" x14ac:dyDescent="0.3">
      <c r="A464" t="s">
        <v>497</v>
      </c>
      <c r="B464">
        <v>20</v>
      </c>
      <c r="C464" t="s">
        <v>21</v>
      </c>
      <c r="D464" t="s">
        <v>16</v>
      </c>
      <c r="E464">
        <v>2</v>
      </c>
      <c r="F464">
        <v>8.1</v>
      </c>
      <c r="G464">
        <v>8</v>
      </c>
      <c r="H464">
        <v>98.2</v>
      </c>
      <c r="I464" t="s">
        <v>30</v>
      </c>
      <c r="J464" t="s">
        <v>18</v>
      </c>
      <c r="K464">
        <v>7.7</v>
      </c>
      <c r="L464">
        <v>3</v>
      </c>
      <c r="M464">
        <v>3.8</v>
      </c>
      <c r="N464" t="s">
        <v>19</v>
      </c>
    </row>
    <row r="465" spans="1:14" x14ac:dyDescent="0.3">
      <c r="A465" t="s">
        <v>498</v>
      </c>
      <c r="B465">
        <v>18</v>
      </c>
      <c r="C465" t="s">
        <v>21</v>
      </c>
      <c r="D465" t="s">
        <v>43</v>
      </c>
      <c r="E465">
        <v>1</v>
      </c>
      <c r="F465">
        <v>5.89</v>
      </c>
      <c r="G465">
        <v>10</v>
      </c>
      <c r="H465">
        <v>67.900000000000006</v>
      </c>
      <c r="I465" t="s">
        <v>17</v>
      </c>
      <c r="J465" t="s">
        <v>35</v>
      </c>
      <c r="K465">
        <v>3.8</v>
      </c>
      <c r="L465">
        <v>2</v>
      </c>
      <c r="M465">
        <v>9.1</v>
      </c>
      <c r="N465" t="s">
        <v>19</v>
      </c>
    </row>
    <row r="466" spans="1:14" x14ac:dyDescent="0.3">
      <c r="A466" t="s">
        <v>499</v>
      </c>
      <c r="B466">
        <v>18</v>
      </c>
      <c r="C466" t="s">
        <v>21</v>
      </c>
      <c r="D466" t="s">
        <v>43</v>
      </c>
      <c r="E466">
        <v>1</v>
      </c>
      <c r="F466">
        <v>7.69</v>
      </c>
      <c r="G466">
        <v>3</v>
      </c>
      <c r="H466">
        <v>89.3</v>
      </c>
      <c r="I466" t="s">
        <v>17</v>
      </c>
      <c r="J466" t="s">
        <v>33</v>
      </c>
      <c r="K466">
        <v>0.9</v>
      </c>
      <c r="L466">
        <v>8</v>
      </c>
      <c r="M466">
        <v>4.7</v>
      </c>
      <c r="N466" t="s">
        <v>19</v>
      </c>
    </row>
    <row r="467" spans="1:14" x14ac:dyDescent="0.3">
      <c r="A467" t="s">
        <v>500</v>
      </c>
      <c r="B467">
        <v>23</v>
      </c>
      <c r="C467" t="s">
        <v>15</v>
      </c>
      <c r="D467" t="s">
        <v>43</v>
      </c>
      <c r="E467">
        <v>3</v>
      </c>
      <c r="F467">
        <v>6.55</v>
      </c>
      <c r="G467">
        <v>8</v>
      </c>
      <c r="H467">
        <v>97</v>
      </c>
      <c r="I467" t="s">
        <v>27</v>
      </c>
      <c r="J467" t="s">
        <v>23</v>
      </c>
      <c r="K467">
        <v>6.6</v>
      </c>
      <c r="L467">
        <v>2</v>
      </c>
      <c r="M467">
        <v>9.8000000000000007</v>
      </c>
      <c r="N467" t="s">
        <v>24</v>
      </c>
    </row>
    <row r="468" spans="1:14" x14ac:dyDescent="0.3">
      <c r="A468" t="s">
        <v>501</v>
      </c>
      <c r="B468">
        <v>20</v>
      </c>
      <c r="C468" t="s">
        <v>15</v>
      </c>
      <c r="D468" t="s">
        <v>48</v>
      </c>
      <c r="E468">
        <v>3</v>
      </c>
      <c r="F468">
        <v>9.91</v>
      </c>
      <c r="G468">
        <v>9</v>
      </c>
      <c r="H468">
        <v>70.2</v>
      </c>
      <c r="I468" t="s">
        <v>17</v>
      </c>
      <c r="J468" t="s">
        <v>54</v>
      </c>
      <c r="K468">
        <v>6.9</v>
      </c>
      <c r="L468">
        <v>9</v>
      </c>
      <c r="M468">
        <v>3.5</v>
      </c>
      <c r="N468" t="s">
        <v>24</v>
      </c>
    </row>
    <row r="469" spans="1:14" x14ac:dyDescent="0.3">
      <c r="A469" t="s">
        <v>502</v>
      </c>
      <c r="B469">
        <v>19</v>
      </c>
      <c r="C469" t="s">
        <v>15</v>
      </c>
      <c r="D469" t="s">
        <v>48</v>
      </c>
      <c r="E469">
        <v>2</v>
      </c>
      <c r="F469">
        <v>8.36</v>
      </c>
      <c r="G469">
        <v>7</v>
      </c>
      <c r="H469">
        <v>74.8</v>
      </c>
      <c r="I469" t="s">
        <v>30</v>
      </c>
      <c r="J469" t="s">
        <v>35</v>
      </c>
      <c r="K469">
        <v>1.2</v>
      </c>
      <c r="L469">
        <v>9</v>
      </c>
      <c r="M469">
        <v>4.4000000000000004</v>
      </c>
      <c r="N469" t="s">
        <v>19</v>
      </c>
    </row>
    <row r="470" spans="1:14" x14ac:dyDescent="0.3">
      <c r="A470" t="s">
        <v>503</v>
      </c>
      <c r="B470">
        <v>20</v>
      </c>
      <c r="C470" t="s">
        <v>15</v>
      </c>
      <c r="D470" t="s">
        <v>22</v>
      </c>
      <c r="E470">
        <v>1</v>
      </c>
      <c r="F470">
        <v>8.57</v>
      </c>
      <c r="G470">
        <v>10</v>
      </c>
      <c r="H470">
        <v>53.7</v>
      </c>
      <c r="I470" t="s">
        <v>17</v>
      </c>
      <c r="J470" t="s">
        <v>18</v>
      </c>
      <c r="K470">
        <v>6.8</v>
      </c>
      <c r="L470">
        <v>3</v>
      </c>
      <c r="M470">
        <v>9.4</v>
      </c>
      <c r="N470" t="s">
        <v>24</v>
      </c>
    </row>
    <row r="471" spans="1:14" x14ac:dyDescent="0.3">
      <c r="A471" t="s">
        <v>504</v>
      </c>
      <c r="B471">
        <v>17</v>
      </c>
      <c r="C471" t="s">
        <v>21</v>
      </c>
      <c r="D471" t="s">
        <v>22</v>
      </c>
      <c r="E471">
        <v>2</v>
      </c>
      <c r="F471">
        <v>6.98</v>
      </c>
      <c r="G471">
        <v>5</v>
      </c>
      <c r="H471">
        <v>82.2</v>
      </c>
      <c r="I471" t="s">
        <v>30</v>
      </c>
      <c r="J471" t="s">
        <v>18</v>
      </c>
      <c r="K471">
        <v>7.5</v>
      </c>
      <c r="L471">
        <v>8</v>
      </c>
      <c r="M471">
        <v>5.6</v>
      </c>
      <c r="N471" t="s">
        <v>24</v>
      </c>
    </row>
    <row r="472" spans="1:14" x14ac:dyDescent="0.3">
      <c r="A472" t="s">
        <v>505</v>
      </c>
      <c r="B472">
        <v>25</v>
      </c>
      <c r="C472" t="s">
        <v>21</v>
      </c>
      <c r="D472" t="s">
        <v>48</v>
      </c>
      <c r="E472">
        <v>2</v>
      </c>
      <c r="F472">
        <v>8.86</v>
      </c>
      <c r="G472">
        <v>2</v>
      </c>
      <c r="H472">
        <v>93.1</v>
      </c>
      <c r="I472" t="s">
        <v>30</v>
      </c>
      <c r="J472" t="s">
        <v>33</v>
      </c>
      <c r="K472">
        <v>1</v>
      </c>
      <c r="L472">
        <v>3</v>
      </c>
      <c r="M472">
        <v>4.7</v>
      </c>
      <c r="N472" t="s">
        <v>24</v>
      </c>
    </row>
    <row r="473" spans="1:14" x14ac:dyDescent="0.3">
      <c r="A473" t="s">
        <v>506</v>
      </c>
      <c r="B473">
        <v>19</v>
      </c>
      <c r="C473" t="s">
        <v>21</v>
      </c>
      <c r="D473" t="s">
        <v>29</v>
      </c>
      <c r="E473">
        <v>1</v>
      </c>
      <c r="F473">
        <v>7.42</v>
      </c>
      <c r="G473">
        <v>6</v>
      </c>
      <c r="H473">
        <v>92.4</v>
      </c>
      <c r="I473" t="s">
        <v>17</v>
      </c>
      <c r="J473" t="s">
        <v>35</v>
      </c>
      <c r="K473">
        <v>1.4</v>
      </c>
      <c r="L473">
        <v>6</v>
      </c>
      <c r="M473">
        <v>7.6</v>
      </c>
      <c r="N473" t="s">
        <v>19</v>
      </c>
    </row>
    <row r="474" spans="1:14" x14ac:dyDescent="0.3">
      <c r="A474" t="s">
        <v>507</v>
      </c>
      <c r="B474">
        <v>17</v>
      </c>
      <c r="C474" t="s">
        <v>21</v>
      </c>
      <c r="D474" t="s">
        <v>43</v>
      </c>
      <c r="E474">
        <v>3</v>
      </c>
      <c r="F474">
        <v>7.84</v>
      </c>
      <c r="G474">
        <v>2</v>
      </c>
      <c r="H474">
        <v>87.4</v>
      </c>
      <c r="I474" t="s">
        <v>17</v>
      </c>
      <c r="J474" t="s">
        <v>18</v>
      </c>
      <c r="K474">
        <v>8.9</v>
      </c>
      <c r="L474">
        <v>10</v>
      </c>
      <c r="M474">
        <v>8.9</v>
      </c>
      <c r="N474" t="s">
        <v>24</v>
      </c>
    </row>
    <row r="475" spans="1:14" x14ac:dyDescent="0.3">
      <c r="A475" t="s">
        <v>508</v>
      </c>
      <c r="B475">
        <v>23</v>
      </c>
      <c r="C475" t="s">
        <v>21</v>
      </c>
      <c r="D475" t="s">
        <v>22</v>
      </c>
      <c r="E475">
        <v>1</v>
      </c>
      <c r="F475">
        <v>5.64</v>
      </c>
      <c r="G475">
        <v>3</v>
      </c>
      <c r="H475">
        <v>70.3</v>
      </c>
      <c r="I475" t="s">
        <v>17</v>
      </c>
      <c r="J475" t="s">
        <v>23</v>
      </c>
      <c r="K475">
        <v>2.8</v>
      </c>
      <c r="L475">
        <v>10</v>
      </c>
      <c r="M475">
        <v>4.3</v>
      </c>
      <c r="N475" t="s">
        <v>19</v>
      </c>
    </row>
    <row r="476" spans="1:14" x14ac:dyDescent="0.3">
      <c r="A476" t="s">
        <v>509</v>
      </c>
      <c r="B476">
        <v>25</v>
      </c>
      <c r="C476" t="s">
        <v>15</v>
      </c>
      <c r="D476" t="s">
        <v>16</v>
      </c>
      <c r="E476">
        <v>1</v>
      </c>
      <c r="F476">
        <v>8.43</v>
      </c>
      <c r="G476">
        <v>9</v>
      </c>
      <c r="H476">
        <v>50.8</v>
      </c>
      <c r="I476" t="s">
        <v>30</v>
      </c>
      <c r="J476" t="s">
        <v>33</v>
      </c>
      <c r="K476">
        <v>5.8</v>
      </c>
      <c r="L476">
        <v>9</v>
      </c>
      <c r="M476">
        <v>3.7</v>
      </c>
      <c r="N476" t="s">
        <v>24</v>
      </c>
    </row>
    <row r="477" spans="1:14" x14ac:dyDescent="0.3">
      <c r="A477" t="s">
        <v>510</v>
      </c>
      <c r="B477">
        <v>24</v>
      </c>
      <c r="C477" t="s">
        <v>15</v>
      </c>
      <c r="D477" t="s">
        <v>37</v>
      </c>
      <c r="E477">
        <v>1</v>
      </c>
      <c r="F477">
        <v>8.44</v>
      </c>
      <c r="G477">
        <v>7</v>
      </c>
      <c r="H477">
        <v>59.6</v>
      </c>
      <c r="I477" t="s">
        <v>17</v>
      </c>
      <c r="J477" t="s">
        <v>33</v>
      </c>
      <c r="K477">
        <v>8.8000000000000007</v>
      </c>
      <c r="L477">
        <v>6</v>
      </c>
      <c r="M477">
        <v>9</v>
      </c>
      <c r="N477" t="s">
        <v>24</v>
      </c>
    </row>
    <row r="478" spans="1:14" x14ac:dyDescent="0.3">
      <c r="A478" t="s">
        <v>511</v>
      </c>
      <c r="B478">
        <v>23</v>
      </c>
      <c r="C478" t="s">
        <v>15</v>
      </c>
      <c r="D478" t="s">
        <v>39</v>
      </c>
      <c r="E478">
        <v>2</v>
      </c>
      <c r="F478">
        <v>8.76</v>
      </c>
      <c r="G478">
        <v>2</v>
      </c>
      <c r="H478">
        <v>64.900000000000006</v>
      </c>
      <c r="I478" t="s">
        <v>27</v>
      </c>
      <c r="J478" t="s">
        <v>23</v>
      </c>
      <c r="K478">
        <v>6</v>
      </c>
      <c r="L478">
        <v>9</v>
      </c>
      <c r="M478">
        <v>9.6999999999999993</v>
      </c>
      <c r="N478" t="s">
        <v>19</v>
      </c>
    </row>
    <row r="479" spans="1:14" x14ac:dyDescent="0.3">
      <c r="A479" t="s">
        <v>512</v>
      </c>
      <c r="B479">
        <v>18</v>
      </c>
      <c r="C479" t="s">
        <v>15</v>
      </c>
      <c r="D479" t="s">
        <v>39</v>
      </c>
      <c r="E479">
        <v>3</v>
      </c>
      <c r="F479">
        <v>6.03</v>
      </c>
      <c r="G479">
        <v>9</v>
      </c>
      <c r="H479">
        <v>60.6</v>
      </c>
      <c r="I479" t="s">
        <v>27</v>
      </c>
      <c r="J479" t="s">
        <v>33</v>
      </c>
      <c r="K479">
        <v>2.2999999999999998</v>
      </c>
      <c r="L479">
        <v>8</v>
      </c>
      <c r="M479">
        <v>3.7</v>
      </c>
      <c r="N479" t="s">
        <v>19</v>
      </c>
    </row>
    <row r="480" spans="1:14" x14ac:dyDescent="0.3">
      <c r="A480" t="s">
        <v>513</v>
      </c>
      <c r="B480">
        <v>21</v>
      </c>
      <c r="C480" t="s">
        <v>15</v>
      </c>
      <c r="D480" t="s">
        <v>32</v>
      </c>
      <c r="E480">
        <v>3</v>
      </c>
      <c r="F480">
        <v>7.53</v>
      </c>
      <c r="G480">
        <v>5</v>
      </c>
      <c r="H480">
        <v>60.6</v>
      </c>
      <c r="I480" t="s">
        <v>27</v>
      </c>
      <c r="J480" t="s">
        <v>33</v>
      </c>
      <c r="K480">
        <v>2.7</v>
      </c>
      <c r="L480">
        <v>6</v>
      </c>
      <c r="M480">
        <v>9.1</v>
      </c>
      <c r="N480" t="s">
        <v>19</v>
      </c>
    </row>
    <row r="481" spans="1:14" x14ac:dyDescent="0.3">
      <c r="A481" t="s">
        <v>514</v>
      </c>
      <c r="B481">
        <v>24</v>
      </c>
      <c r="C481" t="s">
        <v>15</v>
      </c>
      <c r="D481" t="s">
        <v>26</v>
      </c>
      <c r="E481">
        <v>1</v>
      </c>
      <c r="F481">
        <v>6.63</v>
      </c>
      <c r="G481">
        <v>2</v>
      </c>
      <c r="H481">
        <v>77.7</v>
      </c>
      <c r="I481" t="s">
        <v>30</v>
      </c>
      <c r="J481" t="s">
        <v>35</v>
      </c>
      <c r="K481">
        <v>7.7</v>
      </c>
      <c r="L481">
        <v>6</v>
      </c>
      <c r="M481">
        <v>9.9</v>
      </c>
      <c r="N481" t="s">
        <v>24</v>
      </c>
    </row>
    <row r="482" spans="1:14" x14ac:dyDescent="0.3">
      <c r="A482" t="s">
        <v>515</v>
      </c>
      <c r="B482">
        <v>22</v>
      </c>
      <c r="C482" t="s">
        <v>15</v>
      </c>
      <c r="D482" t="s">
        <v>22</v>
      </c>
      <c r="E482">
        <v>2</v>
      </c>
      <c r="F482">
        <v>4.6900000000000004</v>
      </c>
      <c r="G482">
        <v>5</v>
      </c>
      <c r="H482">
        <v>58.6</v>
      </c>
      <c r="I482" t="s">
        <v>27</v>
      </c>
      <c r="J482" t="s">
        <v>23</v>
      </c>
      <c r="K482">
        <v>8.4</v>
      </c>
      <c r="L482">
        <v>7</v>
      </c>
      <c r="M482">
        <v>7.1</v>
      </c>
      <c r="N482" t="s">
        <v>19</v>
      </c>
    </row>
    <row r="483" spans="1:14" x14ac:dyDescent="0.3">
      <c r="A483" t="s">
        <v>516</v>
      </c>
      <c r="B483">
        <v>18</v>
      </c>
      <c r="C483" t="s">
        <v>21</v>
      </c>
      <c r="D483" t="s">
        <v>48</v>
      </c>
      <c r="E483">
        <v>2</v>
      </c>
      <c r="F483">
        <v>6.9</v>
      </c>
      <c r="G483">
        <v>2</v>
      </c>
      <c r="H483">
        <v>52.4</v>
      </c>
      <c r="I483" t="s">
        <v>17</v>
      </c>
      <c r="J483" t="s">
        <v>54</v>
      </c>
      <c r="K483">
        <v>4.9000000000000004</v>
      </c>
      <c r="L483">
        <v>2</v>
      </c>
      <c r="M483">
        <v>5.2</v>
      </c>
      <c r="N483" t="s">
        <v>19</v>
      </c>
    </row>
    <row r="484" spans="1:14" x14ac:dyDescent="0.3">
      <c r="A484" t="s">
        <v>517</v>
      </c>
      <c r="B484">
        <v>23</v>
      </c>
      <c r="C484" t="s">
        <v>15</v>
      </c>
      <c r="D484" t="s">
        <v>26</v>
      </c>
      <c r="E484">
        <v>1</v>
      </c>
      <c r="F484">
        <v>6.49</v>
      </c>
      <c r="G484">
        <v>8</v>
      </c>
      <c r="H484">
        <v>90.4</v>
      </c>
      <c r="I484" t="s">
        <v>17</v>
      </c>
      <c r="J484" t="s">
        <v>23</v>
      </c>
      <c r="K484">
        <v>1.8</v>
      </c>
      <c r="L484">
        <v>2</v>
      </c>
      <c r="M484">
        <v>4.3</v>
      </c>
      <c r="N484" t="s">
        <v>19</v>
      </c>
    </row>
    <row r="485" spans="1:14" x14ac:dyDescent="0.3">
      <c r="A485" t="s">
        <v>518</v>
      </c>
      <c r="B485">
        <v>17</v>
      </c>
      <c r="C485" t="s">
        <v>21</v>
      </c>
      <c r="D485" t="s">
        <v>32</v>
      </c>
      <c r="E485">
        <v>1</v>
      </c>
      <c r="F485">
        <v>8.17</v>
      </c>
      <c r="G485">
        <v>6</v>
      </c>
      <c r="H485">
        <v>90.1</v>
      </c>
      <c r="I485" t="s">
        <v>30</v>
      </c>
      <c r="J485" t="s">
        <v>23</v>
      </c>
      <c r="K485">
        <v>3.9</v>
      </c>
      <c r="L485">
        <v>1</v>
      </c>
      <c r="M485">
        <v>9.1999999999999993</v>
      </c>
      <c r="N485" t="s">
        <v>24</v>
      </c>
    </row>
    <row r="486" spans="1:14" x14ac:dyDescent="0.3">
      <c r="A486" t="s">
        <v>519</v>
      </c>
      <c r="B486">
        <v>20</v>
      </c>
      <c r="C486" t="s">
        <v>21</v>
      </c>
      <c r="D486" t="s">
        <v>43</v>
      </c>
      <c r="E486">
        <v>1</v>
      </c>
      <c r="F486">
        <v>6.38</v>
      </c>
      <c r="G486">
        <v>7</v>
      </c>
      <c r="H486">
        <v>95.4</v>
      </c>
      <c r="I486" t="s">
        <v>30</v>
      </c>
      <c r="J486" t="s">
        <v>54</v>
      </c>
      <c r="K486">
        <v>3.1</v>
      </c>
      <c r="L486">
        <v>8</v>
      </c>
      <c r="M486">
        <v>8.4</v>
      </c>
      <c r="N486" t="s">
        <v>24</v>
      </c>
    </row>
    <row r="487" spans="1:14" x14ac:dyDescent="0.3">
      <c r="A487" t="s">
        <v>520</v>
      </c>
      <c r="B487">
        <v>23</v>
      </c>
      <c r="C487" t="s">
        <v>21</v>
      </c>
      <c r="D487" t="s">
        <v>26</v>
      </c>
      <c r="E487">
        <v>1</v>
      </c>
      <c r="F487">
        <v>6.1</v>
      </c>
      <c r="G487">
        <v>6</v>
      </c>
      <c r="H487">
        <v>99.8</v>
      </c>
      <c r="I487" t="s">
        <v>17</v>
      </c>
      <c r="J487" t="s">
        <v>54</v>
      </c>
      <c r="K487">
        <v>3.1</v>
      </c>
      <c r="L487">
        <v>7</v>
      </c>
      <c r="M487">
        <v>9.6</v>
      </c>
      <c r="N487" t="s">
        <v>19</v>
      </c>
    </row>
    <row r="488" spans="1:14" x14ac:dyDescent="0.3">
      <c r="A488" t="s">
        <v>521</v>
      </c>
      <c r="B488">
        <v>21</v>
      </c>
      <c r="C488" t="s">
        <v>15</v>
      </c>
      <c r="D488" t="s">
        <v>39</v>
      </c>
      <c r="E488">
        <v>1</v>
      </c>
      <c r="F488">
        <v>8.74</v>
      </c>
      <c r="G488">
        <v>6</v>
      </c>
      <c r="H488">
        <v>83.9</v>
      </c>
      <c r="I488" t="s">
        <v>17</v>
      </c>
      <c r="J488" t="s">
        <v>35</v>
      </c>
      <c r="K488">
        <v>4.4000000000000004</v>
      </c>
      <c r="L488">
        <v>6</v>
      </c>
      <c r="M488">
        <v>7</v>
      </c>
      <c r="N488" t="s">
        <v>19</v>
      </c>
    </row>
    <row r="489" spans="1:14" x14ac:dyDescent="0.3">
      <c r="A489" t="s">
        <v>522</v>
      </c>
      <c r="B489">
        <v>19</v>
      </c>
      <c r="C489" t="s">
        <v>15</v>
      </c>
      <c r="D489" t="s">
        <v>43</v>
      </c>
      <c r="E489">
        <v>2</v>
      </c>
      <c r="F489">
        <v>6.06</v>
      </c>
      <c r="G489">
        <v>3</v>
      </c>
      <c r="H489">
        <v>85.7</v>
      </c>
      <c r="I489" t="s">
        <v>30</v>
      </c>
      <c r="J489" t="s">
        <v>33</v>
      </c>
      <c r="K489">
        <v>0.8</v>
      </c>
      <c r="L489">
        <v>6</v>
      </c>
      <c r="M489">
        <v>3.8</v>
      </c>
      <c r="N489" t="s">
        <v>19</v>
      </c>
    </row>
    <row r="490" spans="1:14" x14ac:dyDescent="0.3">
      <c r="A490" t="s">
        <v>523</v>
      </c>
      <c r="B490">
        <v>18</v>
      </c>
      <c r="C490" t="s">
        <v>15</v>
      </c>
      <c r="D490" t="s">
        <v>37</v>
      </c>
      <c r="E490">
        <v>1</v>
      </c>
      <c r="F490">
        <v>9.1999999999999993</v>
      </c>
      <c r="G490">
        <v>7</v>
      </c>
      <c r="H490">
        <v>98.5</v>
      </c>
      <c r="I490" t="s">
        <v>17</v>
      </c>
      <c r="J490" t="s">
        <v>54</v>
      </c>
      <c r="K490">
        <v>5.3</v>
      </c>
      <c r="L490">
        <v>2</v>
      </c>
      <c r="M490">
        <v>7.8</v>
      </c>
      <c r="N490" t="s">
        <v>24</v>
      </c>
    </row>
    <row r="491" spans="1:14" x14ac:dyDescent="0.3">
      <c r="A491" t="s">
        <v>524</v>
      </c>
      <c r="B491">
        <v>26</v>
      </c>
      <c r="C491" t="s">
        <v>15</v>
      </c>
      <c r="D491" t="s">
        <v>29</v>
      </c>
      <c r="E491">
        <v>1</v>
      </c>
      <c r="F491">
        <v>5.08</v>
      </c>
      <c r="G491">
        <v>9</v>
      </c>
      <c r="H491">
        <v>87.4</v>
      </c>
      <c r="I491" t="s">
        <v>17</v>
      </c>
      <c r="J491" t="s">
        <v>35</v>
      </c>
      <c r="K491">
        <v>4.9000000000000004</v>
      </c>
      <c r="L491">
        <v>4</v>
      </c>
      <c r="M491">
        <v>7.3</v>
      </c>
      <c r="N491" t="s">
        <v>24</v>
      </c>
    </row>
    <row r="492" spans="1:14" x14ac:dyDescent="0.3">
      <c r="A492" t="s">
        <v>525</v>
      </c>
      <c r="B492">
        <v>18</v>
      </c>
      <c r="C492" t="s">
        <v>21</v>
      </c>
      <c r="D492" t="s">
        <v>16</v>
      </c>
      <c r="E492">
        <v>1</v>
      </c>
      <c r="F492">
        <v>4.9000000000000004</v>
      </c>
      <c r="G492">
        <v>9</v>
      </c>
      <c r="H492">
        <v>84.9</v>
      </c>
      <c r="I492" t="s">
        <v>30</v>
      </c>
      <c r="J492" t="s">
        <v>35</v>
      </c>
      <c r="K492">
        <v>7.6</v>
      </c>
      <c r="L492">
        <v>1</v>
      </c>
      <c r="M492">
        <v>4.5</v>
      </c>
      <c r="N492" t="s">
        <v>19</v>
      </c>
    </row>
    <row r="493" spans="1:14" x14ac:dyDescent="0.3">
      <c r="A493" t="s">
        <v>526</v>
      </c>
      <c r="B493">
        <v>23</v>
      </c>
      <c r="C493" t="s">
        <v>21</v>
      </c>
      <c r="D493" t="s">
        <v>32</v>
      </c>
      <c r="E493">
        <v>4</v>
      </c>
      <c r="F493">
        <v>8.11</v>
      </c>
      <c r="G493">
        <v>2</v>
      </c>
      <c r="H493">
        <v>93.9</v>
      </c>
      <c r="I493" t="s">
        <v>17</v>
      </c>
      <c r="J493" t="s">
        <v>18</v>
      </c>
      <c r="K493">
        <v>1.9</v>
      </c>
      <c r="L493">
        <v>8</v>
      </c>
      <c r="M493">
        <v>7</v>
      </c>
      <c r="N493" t="s">
        <v>19</v>
      </c>
    </row>
    <row r="494" spans="1:14" x14ac:dyDescent="0.3">
      <c r="A494" t="s">
        <v>527</v>
      </c>
      <c r="B494">
        <v>25</v>
      </c>
      <c r="C494" t="s">
        <v>21</v>
      </c>
      <c r="D494" t="s">
        <v>16</v>
      </c>
      <c r="E494">
        <v>2</v>
      </c>
      <c r="F494">
        <v>6.1</v>
      </c>
      <c r="G494">
        <v>2</v>
      </c>
      <c r="H494">
        <v>91.6</v>
      </c>
      <c r="I494" t="s">
        <v>17</v>
      </c>
      <c r="J494" t="s">
        <v>33</v>
      </c>
      <c r="K494">
        <v>8.6</v>
      </c>
      <c r="L494">
        <v>1</v>
      </c>
      <c r="M494">
        <v>6.8</v>
      </c>
      <c r="N494" t="s">
        <v>24</v>
      </c>
    </row>
    <row r="495" spans="1:14" x14ac:dyDescent="0.3">
      <c r="A495" t="s">
        <v>528</v>
      </c>
      <c r="B495">
        <v>22</v>
      </c>
      <c r="C495" t="s">
        <v>15</v>
      </c>
      <c r="D495" t="s">
        <v>43</v>
      </c>
      <c r="E495">
        <v>2</v>
      </c>
      <c r="F495">
        <v>5.55</v>
      </c>
      <c r="G495">
        <v>3</v>
      </c>
      <c r="H495">
        <v>50.5</v>
      </c>
      <c r="I495" t="s">
        <v>27</v>
      </c>
      <c r="J495" t="s">
        <v>18</v>
      </c>
      <c r="K495">
        <v>7.2</v>
      </c>
      <c r="L495">
        <v>10</v>
      </c>
      <c r="M495">
        <v>10</v>
      </c>
      <c r="N495" t="s">
        <v>19</v>
      </c>
    </row>
    <row r="496" spans="1:14" x14ac:dyDescent="0.3">
      <c r="A496" t="s">
        <v>529</v>
      </c>
      <c r="B496">
        <v>18</v>
      </c>
      <c r="C496" t="s">
        <v>15</v>
      </c>
      <c r="D496" t="s">
        <v>26</v>
      </c>
      <c r="E496">
        <v>2</v>
      </c>
      <c r="F496">
        <v>8.83</v>
      </c>
      <c r="G496">
        <v>5</v>
      </c>
      <c r="H496">
        <v>65.5</v>
      </c>
      <c r="I496" t="s">
        <v>17</v>
      </c>
      <c r="J496" t="s">
        <v>23</v>
      </c>
      <c r="K496">
        <v>1</v>
      </c>
      <c r="L496">
        <v>8</v>
      </c>
      <c r="M496">
        <v>4.5</v>
      </c>
      <c r="N496" t="s">
        <v>19</v>
      </c>
    </row>
    <row r="497" spans="1:14" x14ac:dyDescent="0.3">
      <c r="A497" t="s">
        <v>530</v>
      </c>
      <c r="B497">
        <v>26</v>
      </c>
      <c r="C497" t="s">
        <v>15</v>
      </c>
      <c r="D497" t="s">
        <v>48</v>
      </c>
      <c r="E497">
        <v>1</v>
      </c>
      <c r="F497">
        <v>4.6900000000000004</v>
      </c>
      <c r="G497">
        <v>10</v>
      </c>
      <c r="H497">
        <v>78.2</v>
      </c>
      <c r="I497" t="s">
        <v>17</v>
      </c>
      <c r="J497" t="s">
        <v>18</v>
      </c>
      <c r="K497">
        <v>1.3</v>
      </c>
      <c r="L497">
        <v>8</v>
      </c>
      <c r="M497">
        <v>9.1999999999999993</v>
      </c>
      <c r="N497" t="s">
        <v>24</v>
      </c>
    </row>
    <row r="498" spans="1:14" x14ac:dyDescent="0.3">
      <c r="A498" t="s">
        <v>531</v>
      </c>
      <c r="B498">
        <v>25</v>
      </c>
      <c r="C498" t="s">
        <v>21</v>
      </c>
      <c r="D498" t="s">
        <v>32</v>
      </c>
      <c r="E498">
        <v>3</v>
      </c>
      <c r="F498">
        <v>6.95</v>
      </c>
      <c r="G498">
        <v>10</v>
      </c>
      <c r="H498">
        <v>68.099999999999994</v>
      </c>
      <c r="I498" t="s">
        <v>27</v>
      </c>
      <c r="J498" t="s">
        <v>33</v>
      </c>
      <c r="K498">
        <v>5.0999999999999996</v>
      </c>
      <c r="L498">
        <v>10</v>
      </c>
      <c r="M498">
        <v>4.8</v>
      </c>
      <c r="N498" t="s">
        <v>24</v>
      </c>
    </row>
    <row r="499" spans="1:14" x14ac:dyDescent="0.3">
      <c r="A499" t="s">
        <v>532</v>
      </c>
      <c r="B499">
        <v>22</v>
      </c>
      <c r="C499" t="s">
        <v>15</v>
      </c>
      <c r="D499" t="s">
        <v>26</v>
      </c>
      <c r="E499">
        <v>1</v>
      </c>
      <c r="F499">
        <v>6.65</v>
      </c>
      <c r="G499">
        <v>10</v>
      </c>
      <c r="H499">
        <v>50.9</v>
      </c>
      <c r="I499" t="s">
        <v>17</v>
      </c>
      <c r="J499" t="s">
        <v>18</v>
      </c>
      <c r="K499">
        <v>7.8</v>
      </c>
      <c r="L499">
        <v>4</v>
      </c>
      <c r="M499">
        <v>8.5</v>
      </c>
      <c r="N499" t="s">
        <v>19</v>
      </c>
    </row>
    <row r="500" spans="1:14" x14ac:dyDescent="0.3">
      <c r="A500" t="s">
        <v>533</v>
      </c>
      <c r="B500">
        <v>19</v>
      </c>
      <c r="C500" t="s">
        <v>15</v>
      </c>
      <c r="D500" t="s">
        <v>22</v>
      </c>
      <c r="E500">
        <v>1</v>
      </c>
      <c r="F500">
        <v>8.36</v>
      </c>
      <c r="G500">
        <v>8</v>
      </c>
      <c r="H500">
        <v>81.599999999999994</v>
      </c>
      <c r="I500" t="s">
        <v>30</v>
      </c>
      <c r="J500" t="s">
        <v>54</v>
      </c>
      <c r="K500">
        <v>8.6</v>
      </c>
      <c r="L500">
        <v>4</v>
      </c>
      <c r="M500">
        <v>6.9</v>
      </c>
      <c r="N500" t="s">
        <v>24</v>
      </c>
    </row>
    <row r="501" spans="1:14" x14ac:dyDescent="0.3">
      <c r="A501" t="s">
        <v>534</v>
      </c>
      <c r="B501">
        <v>22</v>
      </c>
      <c r="C501" t="s">
        <v>15</v>
      </c>
      <c r="D501" t="s">
        <v>22</v>
      </c>
      <c r="E501">
        <v>1</v>
      </c>
      <c r="F501">
        <v>4.72</v>
      </c>
      <c r="G501">
        <v>6</v>
      </c>
      <c r="H501">
        <v>65.400000000000006</v>
      </c>
      <c r="I501" t="s">
        <v>17</v>
      </c>
      <c r="J501" t="s">
        <v>54</v>
      </c>
      <c r="K501">
        <v>6.6</v>
      </c>
      <c r="L501">
        <v>2</v>
      </c>
      <c r="M501">
        <v>9.3000000000000007</v>
      </c>
      <c r="N501" t="s">
        <v>19</v>
      </c>
    </row>
    <row r="502" spans="1:14" x14ac:dyDescent="0.3">
      <c r="A502" t="s">
        <v>535</v>
      </c>
      <c r="B502">
        <v>25</v>
      </c>
      <c r="C502" t="s">
        <v>21</v>
      </c>
      <c r="D502" t="s">
        <v>22</v>
      </c>
      <c r="E502">
        <v>2</v>
      </c>
      <c r="F502">
        <v>6.57</v>
      </c>
      <c r="G502">
        <v>7</v>
      </c>
      <c r="H502">
        <v>56.8</v>
      </c>
      <c r="I502" t="s">
        <v>17</v>
      </c>
      <c r="J502" t="s">
        <v>35</v>
      </c>
      <c r="K502">
        <v>0.9</v>
      </c>
      <c r="L502">
        <v>8</v>
      </c>
      <c r="M502">
        <v>6.5</v>
      </c>
      <c r="N502" t="s">
        <v>24</v>
      </c>
    </row>
    <row r="503" spans="1:14" x14ac:dyDescent="0.3">
      <c r="A503" t="s">
        <v>536</v>
      </c>
      <c r="B503">
        <v>25</v>
      </c>
      <c r="C503" t="s">
        <v>15</v>
      </c>
      <c r="D503" t="s">
        <v>26</v>
      </c>
      <c r="E503">
        <v>2</v>
      </c>
      <c r="F503">
        <v>4.53</v>
      </c>
      <c r="G503">
        <v>3</v>
      </c>
      <c r="H503">
        <v>76.2</v>
      </c>
      <c r="I503" t="s">
        <v>17</v>
      </c>
      <c r="J503" t="s">
        <v>35</v>
      </c>
      <c r="K503">
        <v>1.5</v>
      </c>
      <c r="L503">
        <v>9</v>
      </c>
      <c r="M503">
        <v>6</v>
      </c>
      <c r="N503" t="s">
        <v>24</v>
      </c>
    </row>
    <row r="504" spans="1:14" x14ac:dyDescent="0.3">
      <c r="A504" t="s">
        <v>537</v>
      </c>
      <c r="B504">
        <v>22</v>
      </c>
      <c r="C504" t="s">
        <v>21</v>
      </c>
      <c r="D504" t="s">
        <v>26</v>
      </c>
      <c r="E504">
        <v>2</v>
      </c>
      <c r="F504">
        <v>8.0299999999999994</v>
      </c>
      <c r="G504">
        <v>2</v>
      </c>
      <c r="H504">
        <v>87.4</v>
      </c>
      <c r="I504" t="s">
        <v>27</v>
      </c>
      <c r="J504" t="s">
        <v>54</v>
      </c>
      <c r="K504">
        <v>6.6</v>
      </c>
      <c r="L504">
        <v>8</v>
      </c>
      <c r="M504">
        <v>9.4</v>
      </c>
      <c r="N504" t="s">
        <v>24</v>
      </c>
    </row>
    <row r="505" spans="1:14" x14ac:dyDescent="0.3">
      <c r="A505" t="s">
        <v>538</v>
      </c>
      <c r="B505">
        <v>26</v>
      </c>
      <c r="C505" t="s">
        <v>21</v>
      </c>
      <c r="D505" t="s">
        <v>32</v>
      </c>
      <c r="E505">
        <v>2</v>
      </c>
      <c r="F505">
        <v>6.55</v>
      </c>
      <c r="G505">
        <v>4</v>
      </c>
      <c r="H505">
        <v>92.8</v>
      </c>
      <c r="I505" t="s">
        <v>30</v>
      </c>
      <c r="J505" t="s">
        <v>18</v>
      </c>
      <c r="K505">
        <v>1.7</v>
      </c>
      <c r="L505">
        <v>4</v>
      </c>
      <c r="M505">
        <v>4.2</v>
      </c>
      <c r="N505" t="s">
        <v>19</v>
      </c>
    </row>
    <row r="506" spans="1:14" x14ac:dyDescent="0.3">
      <c r="A506" t="s">
        <v>539</v>
      </c>
      <c r="B506">
        <v>20</v>
      </c>
      <c r="C506" t="s">
        <v>21</v>
      </c>
      <c r="D506" t="s">
        <v>48</v>
      </c>
      <c r="E506">
        <v>3</v>
      </c>
      <c r="F506">
        <v>5.71</v>
      </c>
      <c r="G506">
        <v>10</v>
      </c>
      <c r="H506">
        <v>92.4</v>
      </c>
      <c r="I506" t="s">
        <v>17</v>
      </c>
      <c r="J506" t="s">
        <v>54</v>
      </c>
      <c r="K506">
        <v>2.6</v>
      </c>
      <c r="L506">
        <v>10</v>
      </c>
      <c r="M506">
        <v>5</v>
      </c>
      <c r="N506" t="s">
        <v>19</v>
      </c>
    </row>
    <row r="507" spans="1:14" x14ac:dyDescent="0.3">
      <c r="A507" t="s">
        <v>540</v>
      </c>
      <c r="B507">
        <v>23</v>
      </c>
      <c r="C507" t="s">
        <v>21</v>
      </c>
      <c r="D507" t="s">
        <v>37</v>
      </c>
      <c r="E507">
        <v>2</v>
      </c>
      <c r="F507">
        <v>5.05</v>
      </c>
      <c r="G507">
        <v>6</v>
      </c>
      <c r="H507">
        <v>58.1</v>
      </c>
      <c r="I507" t="s">
        <v>30</v>
      </c>
      <c r="J507" t="s">
        <v>33</v>
      </c>
      <c r="K507">
        <v>5.4</v>
      </c>
      <c r="L507">
        <v>7</v>
      </c>
      <c r="M507">
        <v>8.5</v>
      </c>
      <c r="N507" t="s">
        <v>19</v>
      </c>
    </row>
    <row r="508" spans="1:14" x14ac:dyDescent="0.3">
      <c r="A508" t="s">
        <v>541</v>
      </c>
      <c r="B508">
        <v>22</v>
      </c>
      <c r="C508" t="s">
        <v>21</v>
      </c>
      <c r="D508" t="s">
        <v>26</v>
      </c>
      <c r="E508">
        <v>2</v>
      </c>
      <c r="F508">
        <v>8.5500000000000007</v>
      </c>
      <c r="G508">
        <v>7</v>
      </c>
      <c r="H508">
        <v>98.8</v>
      </c>
      <c r="I508" t="s">
        <v>17</v>
      </c>
      <c r="J508" t="s">
        <v>23</v>
      </c>
      <c r="K508">
        <v>3.2</v>
      </c>
      <c r="L508">
        <v>4</v>
      </c>
      <c r="M508">
        <v>4.7</v>
      </c>
      <c r="N508" t="s">
        <v>19</v>
      </c>
    </row>
    <row r="509" spans="1:14" x14ac:dyDescent="0.3">
      <c r="A509" t="s">
        <v>542</v>
      </c>
      <c r="B509">
        <v>20</v>
      </c>
      <c r="C509" t="s">
        <v>21</v>
      </c>
      <c r="D509" t="s">
        <v>16</v>
      </c>
      <c r="E509">
        <v>1</v>
      </c>
      <c r="F509">
        <v>9.66</v>
      </c>
      <c r="G509">
        <v>2</v>
      </c>
      <c r="H509">
        <v>73.3</v>
      </c>
      <c r="I509" t="s">
        <v>17</v>
      </c>
      <c r="J509" t="s">
        <v>23</v>
      </c>
      <c r="K509">
        <v>8.9</v>
      </c>
      <c r="L509">
        <v>6</v>
      </c>
      <c r="M509">
        <v>3.7</v>
      </c>
      <c r="N509" t="s">
        <v>19</v>
      </c>
    </row>
    <row r="510" spans="1:14" x14ac:dyDescent="0.3">
      <c r="A510" t="s">
        <v>543</v>
      </c>
      <c r="B510">
        <v>24</v>
      </c>
      <c r="C510" t="s">
        <v>15</v>
      </c>
      <c r="D510" t="s">
        <v>39</v>
      </c>
      <c r="E510">
        <v>1</v>
      </c>
      <c r="F510">
        <v>5.09</v>
      </c>
      <c r="G510">
        <v>4</v>
      </c>
      <c r="H510">
        <v>50.4</v>
      </c>
      <c r="I510" t="s">
        <v>17</v>
      </c>
      <c r="J510" t="s">
        <v>23</v>
      </c>
      <c r="K510">
        <v>5.9</v>
      </c>
      <c r="L510">
        <v>5</v>
      </c>
      <c r="M510">
        <v>8.6</v>
      </c>
      <c r="N510" t="s">
        <v>24</v>
      </c>
    </row>
    <row r="511" spans="1:14" x14ac:dyDescent="0.3">
      <c r="A511" t="s">
        <v>544</v>
      </c>
      <c r="B511">
        <v>19</v>
      </c>
      <c r="C511" t="s">
        <v>21</v>
      </c>
      <c r="D511" t="s">
        <v>16</v>
      </c>
      <c r="E511">
        <v>2</v>
      </c>
      <c r="F511">
        <v>8.2100000000000009</v>
      </c>
      <c r="G511">
        <v>5</v>
      </c>
      <c r="H511">
        <v>50.1</v>
      </c>
      <c r="I511" t="s">
        <v>30</v>
      </c>
      <c r="J511" t="s">
        <v>54</v>
      </c>
      <c r="K511">
        <v>4.8</v>
      </c>
      <c r="L511">
        <v>5</v>
      </c>
      <c r="M511">
        <v>5.0999999999999996</v>
      </c>
      <c r="N511" t="s">
        <v>24</v>
      </c>
    </row>
    <row r="512" spans="1:14" x14ac:dyDescent="0.3">
      <c r="A512" t="s">
        <v>545</v>
      </c>
      <c r="B512">
        <v>27</v>
      </c>
      <c r="C512" t="s">
        <v>15</v>
      </c>
      <c r="D512" t="s">
        <v>29</v>
      </c>
      <c r="E512">
        <v>2</v>
      </c>
      <c r="F512">
        <v>7.77</v>
      </c>
      <c r="G512">
        <v>2</v>
      </c>
      <c r="H512">
        <v>52.3</v>
      </c>
      <c r="I512" t="s">
        <v>27</v>
      </c>
      <c r="J512" t="s">
        <v>18</v>
      </c>
      <c r="K512">
        <v>8.1</v>
      </c>
      <c r="L512">
        <v>8</v>
      </c>
      <c r="M512">
        <v>6.9</v>
      </c>
      <c r="N512" t="s">
        <v>19</v>
      </c>
    </row>
    <row r="513" spans="1:14" x14ac:dyDescent="0.3">
      <c r="A513" t="s">
        <v>546</v>
      </c>
      <c r="B513">
        <v>26</v>
      </c>
      <c r="C513" t="s">
        <v>21</v>
      </c>
      <c r="D513" t="s">
        <v>26</v>
      </c>
      <c r="E513">
        <v>1</v>
      </c>
      <c r="F513">
        <v>4.2300000000000004</v>
      </c>
      <c r="G513">
        <v>4</v>
      </c>
      <c r="H513">
        <v>99.6</v>
      </c>
      <c r="I513" t="s">
        <v>30</v>
      </c>
      <c r="J513" t="s">
        <v>23</v>
      </c>
      <c r="K513">
        <v>2.8</v>
      </c>
      <c r="L513">
        <v>3</v>
      </c>
      <c r="M513">
        <v>8.4</v>
      </c>
      <c r="N513" t="s">
        <v>24</v>
      </c>
    </row>
    <row r="514" spans="1:14" x14ac:dyDescent="0.3">
      <c r="A514" t="s">
        <v>547</v>
      </c>
      <c r="B514">
        <v>23</v>
      </c>
      <c r="C514" t="s">
        <v>15</v>
      </c>
      <c r="D514" t="s">
        <v>43</v>
      </c>
      <c r="E514">
        <v>1</v>
      </c>
      <c r="F514">
        <v>6.42</v>
      </c>
      <c r="G514">
        <v>5</v>
      </c>
      <c r="H514">
        <v>56.7</v>
      </c>
      <c r="I514" t="s">
        <v>17</v>
      </c>
      <c r="J514" t="s">
        <v>33</v>
      </c>
      <c r="K514">
        <v>5.8</v>
      </c>
      <c r="L514">
        <v>7</v>
      </c>
      <c r="M514">
        <v>9.5</v>
      </c>
      <c r="N514" t="s">
        <v>24</v>
      </c>
    </row>
    <row r="515" spans="1:14" x14ac:dyDescent="0.3">
      <c r="A515" t="s">
        <v>548</v>
      </c>
      <c r="B515">
        <v>19</v>
      </c>
      <c r="C515" t="s">
        <v>21</v>
      </c>
      <c r="D515" t="s">
        <v>39</v>
      </c>
      <c r="E515">
        <v>2</v>
      </c>
      <c r="F515">
        <v>6.73</v>
      </c>
      <c r="G515">
        <v>8</v>
      </c>
      <c r="H515">
        <v>58.9</v>
      </c>
      <c r="I515" t="s">
        <v>17</v>
      </c>
      <c r="J515" t="s">
        <v>18</v>
      </c>
      <c r="K515">
        <v>3.3</v>
      </c>
      <c r="L515">
        <v>5</v>
      </c>
      <c r="M515">
        <v>3.6</v>
      </c>
      <c r="N515" t="s">
        <v>24</v>
      </c>
    </row>
    <row r="516" spans="1:14" x14ac:dyDescent="0.3">
      <c r="A516" t="s">
        <v>549</v>
      </c>
      <c r="B516">
        <v>20</v>
      </c>
      <c r="C516" t="s">
        <v>21</v>
      </c>
      <c r="D516" t="s">
        <v>29</v>
      </c>
      <c r="E516">
        <v>2</v>
      </c>
      <c r="F516">
        <v>6.14</v>
      </c>
      <c r="G516">
        <v>8</v>
      </c>
      <c r="H516">
        <v>81.8</v>
      </c>
      <c r="I516" t="s">
        <v>30</v>
      </c>
      <c r="J516" t="s">
        <v>33</v>
      </c>
      <c r="K516">
        <v>3.3</v>
      </c>
      <c r="L516">
        <v>1</v>
      </c>
      <c r="M516">
        <v>4.7</v>
      </c>
      <c r="N516" t="s">
        <v>19</v>
      </c>
    </row>
    <row r="517" spans="1:14" x14ac:dyDescent="0.3">
      <c r="A517" t="s">
        <v>550</v>
      </c>
      <c r="B517">
        <v>24</v>
      </c>
      <c r="C517" t="s">
        <v>21</v>
      </c>
      <c r="D517" t="s">
        <v>26</v>
      </c>
      <c r="E517">
        <v>2</v>
      </c>
      <c r="F517">
        <v>5.26</v>
      </c>
      <c r="G517">
        <v>6</v>
      </c>
      <c r="H517">
        <v>67.599999999999994</v>
      </c>
      <c r="I517" t="s">
        <v>17</v>
      </c>
      <c r="J517" t="s">
        <v>23</v>
      </c>
      <c r="K517">
        <v>1.4</v>
      </c>
      <c r="L517">
        <v>10</v>
      </c>
      <c r="M517">
        <v>3.8</v>
      </c>
      <c r="N517" t="s">
        <v>19</v>
      </c>
    </row>
    <row r="518" spans="1:14" x14ac:dyDescent="0.3">
      <c r="A518" t="s">
        <v>551</v>
      </c>
      <c r="B518">
        <v>20</v>
      </c>
      <c r="C518" t="s">
        <v>15</v>
      </c>
      <c r="D518" t="s">
        <v>48</v>
      </c>
      <c r="E518">
        <v>2</v>
      </c>
      <c r="F518">
        <v>9.31</v>
      </c>
      <c r="G518">
        <v>5</v>
      </c>
      <c r="H518">
        <v>55.4</v>
      </c>
      <c r="I518" t="s">
        <v>30</v>
      </c>
      <c r="J518" t="s">
        <v>54</v>
      </c>
      <c r="K518">
        <v>4.9000000000000004</v>
      </c>
      <c r="L518">
        <v>2</v>
      </c>
      <c r="M518">
        <v>8.4</v>
      </c>
      <c r="N518" t="s">
        <v>19</v>
      </c>
    </row>
    <row r="519" spans="1:14" x14ac:dyDescent="0.3">
      <c r="A519" t="s">
        <v>552</v>
      </c>
      <c r="B519">
        <v>27</v>
      </c>
      <c r="C519" t="s">
        <v>15</v>
      </c>
      <c r="D519" t="s">
        <v>16</v>
      </c>
      <c r="E519">
        <v>1</v>
      </c>
      <c r="F519">
        <v>5.26</v>
      </c>
      <c r="G519">
        <v>8</v>
      </c>
      <c r="H519">
        <v>76.8</v>
      </c>
      <c r="I519" t="s">
        <v>27</v>
      </c>
      <c r="J519" t="s">
        <v>33</v>
      </c>
      <c r="K519">
        <v>7.3</v>
      </c>
      <c r="L519">
        <v>5</v>
      </c>
      <c r="M519">
        <v>6.4</v>
      </c>
      <c r="N519" t="s">
        <v>19</v>
      </c>
    </row>
    <row r="520" spans="1:14" x14ac:dyDescent="0.3">
      <c r="A520" t="s">
        <v>553</v>
      </c>
      <c r="B520">
        <v>20</v>
      </c>
      <c r="C520" t="s">
        <v>21</v>
      </c>
      <c r="D520" t="s">
        <v>26</v>
      </c>
      <c r="E520">
        <v>2</v>
      </c>
      <c r="F520">
        <v>5.64</v>
      </c>
      <c r="G520">
        <v>3</v>
      </c>
      <c r="H520">
        <v>71.5</v>
      </c>
      <c r="I520" t="s">
        <v>27</v>
      </c>
      <c r="J520" t="s">
        <v>23</v>
      </c>
      <c r="K520">
        <v>6.7</v>
      </c>
      <c r="L520">
        <v>4</v>
      </c>
      <c r="M520">
        <v>4.3</v>
      </c>
      <c r="N520" t="s">
        <v>24</v>
      </c>
    </row>
    <row r="521" spans="1:14" x14ac:dyDescent="0.3">
      <c r="A521" t="s">
        <v>554</v>
      </c>
      <c r="B521">
        <v>17</v>
      </c>
      <c r="C521" t="s">
        <v>21</v>
      </c>
      <c r="D521" t="s">
        <v>29</v>
      </c>
      <c r="E521">
        <v>1</v>
      </c>
      <c r="F521">
        <v>9.3000000000000007</v>
      </c>
      <c r="G521">
        <v>7</v>
      </c>
      <c r="H521">
        <v>57.7</v>
      </c>
      <c r="I521" t="s">
        <v>27</v>
      </c>
      <c r="J521" t="s">
        <v>54</v>
      </c>
      <c r="K521">
        <v>5.6</v>
      </c>
      <c r="L521">
        <v>4</v>
      </c>
      <c r="M521">
        <v>7.8</v>
      </c>
      <c r="N521" t="s">
        <v>19</v>
      </c>
    </row>
    <row r="522" spans="1:14" x14ac:dyDescent="0.3">
      <c r="A522" t="s">
        <v>555</v>
      </c>
      <c r="B522">
        <v>26</v>
      </c>
      <c r="C522" t="s">
        <v>21</v>
      </c>
      <c r="D522" t="s">
        <v>43</v>
      </c>
      <c r="E522">
        <v>1</v>
      </c>
      <c r="F522">
        <v>9.5500000000000007</v>
      </c>
      <c r="G522">
        <v>3</v>
      </c>
      <c r="H522">
        <v>77.099999999999994</v>
      </c>
      <c r="I522" t="s">
        <v>27</v>
      </c>
      <c r="J522" t="s">
        <v>54</v>
      </c>
      <c r="K522">
        <v>8.5</v>
      </c>
      <c r="L522">
        <v>1</v>
      </c>
      <c r="M522">
        <v>8.9</v>
      </c>
      <c r="N522" t="s">
        <v>19</v>
      </c>
    </row>
    <row r="523" spans="1:14" x14ac:dyDescent="0.3">
      <c r="A523" t="s">
        <v>556</v>
      </c>
      <c r="B523">
        <v>21</v>
      </c>
      <c r="C523" t="s">
        <v>21</v>
      </c>
      <c r="D523" t="s">
        <v>48</v>
      </c>
      <c r="E523">
        <v>3</v>
      </c>
      <c r="F523">
        <v>5.36</v>
      </c>
      <c r="G523">
        <v>2</v>
      </c>
      <c r="H523">
        <v>86.9</v>
      </c>
      <c r="I523" t="s">
        <v>27</v>
      </c>
      <c r="J523" t="s">
        <v>18</v>
      </c>
      <c r="K523">
        <v>0.6</v>
      </c>
      <c r="L523">
        <v>6</v>
      </c>
      <c r="M523">
        <v>8.1999999999999993</v>
      </c>
      <c r="N523" t="s">
        <v>24</v>
      </c>
    </row>
    <row r="524" spans="1:14" x14ac:dyDescent="0.3">
      <c r="A524" t="s">
        <v>557</v>
      </c>
      <c r="B524">
        <v>25</v>
      </c>
      <c r="C524" t="s">
        <v>21</v>
      </c>
      <c r="D524" t="s">
        <v>39</v>
      </c>
      <c r="E524">
        <v>1</v>
      </c>
      <c r="F524">
        <v>5.38</v>
      </c>
      <c r="G524">
        <v>3</v>
      </c>
      <c r="H524">
        <v>57.2</v>
      </c>
      <c r="I524" t="s">
        <v>30</v>
      </c>
      <c r="J524" t="s">
        <v>54</v>
      </c>
      <c r="K524">
        <v>2.5</v>
      </c>
      <c r="L524">
        <v>6</v>
      </c>
      <c r="M524">
        <v>9.4</v>
      </c>
      <c r="N524" t="s">
        <v>19</v>
      </c>
    </row>
    <row r="525" spans="1:14" x14ac:dyDescent="0.3">
      <c r="A525" t="s">
        <v>558</v>
      </c>
      <c r="B525">
        <v>17</v>
      </c>
      <c r="C525" t="s">
        <v>15</v>
      </c>
      <c r="D525" t="s">
        <v>29</v>
      </c>
      <c r="E525">
        <v>1</v>
      </c>
      <c r="F525">
        <v>4.3600000000000003</v>
      </c>
      <c r="G525">
        <v>10</v>
      </c>
      <c r="H525">
        <v>74.599999999999994</v>
      </c>
      <c r="I525" t="s">
        <v>17</v>
      </c>
      <c r="J525" t="s">
        <v>54</v>
      </c>
      <c r="K525">
        <v>5.4</v>
      </c>
      <c r="L525">
        <v>2</v>
      </c>
      <c r="M525">
        <v>9.8000000000000007</v>
      </c>
      <c r="N525" t="s">
        <v>19</v>
      </c>
    </row>
    <row r="526" spans="1:14" x14ac:dyDescent="0.3">
      <c r="A526" t="s">
        <v>559</v>
      </c>
      <c r="B526">
        <v>27</v>
      </c>
      <c r="C526" t="s">
        <v>15</v>
      </c>
      <c r="D526" t="s">
        <v>48</v>
      </c>
      <c r="E526">
        <v>1</v>
      </c>
      <c r="F526">
        <v>7.96</v>
      </c>
      <c r="G526">
        <v>10</v>
      </c>
      <c r="H526">
        <v>96.3</v>
      </c>
      <c r="I526" t="s">
        <v>30</v>
      </c>
      <c r="J526" t="s">
        <v>33</v>
      </c>
      <c r="K526">
        <v>1.9</v>
      </c>
      <c r="L526">
        <v>6</v>
      </c>
      <c r="M526">
        <v>8.6</v>
      </c>
      <c r="N526" t="s">
        <v>24</v>
      </c>
    </row>
    <row r="527" spans="1:14" x14ac:dyDescent="0.3">
      <c r="A527" t="s">
        <v>560</v>
      </c>
      <c r="B527">
        <v>18</v>
      </c>
      <c r="C527" t="s">
        <v>15</v>
      </c>
      <c r="D527" t="s">
        <v>39</v>
      </c>
      <c r="E527">
        <v>3</v>
      </c>
      <c r="F527">
        <v>6.44</v>
      </c>
      <c r="G527">
        <v>2</v>
      </c>
      <c r="H527">
        <v>95.8</v>
      </c>
      <c r="I527" t="s">
        <v>17</v>
      </c>
      <c r="J527" t="s">
        <v>54</v>
      </c>
      <c r="K527">
        <v>3.9</v>
      </c>
      <c r="L527">
        <v>4</v>
      </c>
      <c r="M527">
        <v>9</v>
      </c>
      <c r="N527" t="s">
        <v>24</v>
      </c>
    </row>
    <row r="528" spans="1:14" x14ac:dyDescent="0.3">
      <c r="A528" t="s">
        <v>561</v>
      </c>
      <c r="B528">
        <v>21</v>
      </c>
      <c r="C528" t="s">
        <v>21</v>
      </c>
      <c r="D528" t="s">
        <v>32</v>
      </c>
      <c r="E528">
        <v>2</v>
      </c>
      <c r="F528">
        <v>7.93</v>
      </c>
      <c r="G528">
        <v>9</v>
      </c>
      <c r="H528">
        <v>63.7</v>
      </c>
      <c r="I528" t="s">
        <v>27</v>
      </c>
      <c r="J528" t="s">
        <v>33</v>
      </c>
      <c r="K528">
        <v>2.1</v>
      </c>
      <c r="L528">
        <v>9</v>
      </c>
      <c r="M528">
        <v>5.5</v>
      </c>
      <c r="N528" t="s">
        <v>19</v>
      </c>
    </row>
    <row r="529" spans="1:14" x14ac:dyDescent="0.3">
      <c r="A529" t="s">
        <v>562</v>
      </c>
      <c r="B529">
        <v>19</v>
      </c>
      <c r="C529" t="s">
        <v>15</v>
      </c>
      <c r="D529" t="s">
        <v>26</v>
      </c>
      <c r="E529">
        <v>1</v>
      </c>
      <c r="F529">
        <v>5.38</v>
      </c>
      <c r="G529">
        <v>9</v>
      </c>
      <c r="H529">
        <v>59.8</v>
      </c>
      <c r="I529" t="s">
        <v>30</v>
      </c>
      <c r="J529" t="s">
        <v>18</v>
      </c>
      <c r="K529">
        <v>8</v>
      </c>
      <c r="L529">
        <v>1</v>
      </c>
      <c r="M529">
        <v>8.6</v>
      </c>
      <c r="N529" t="s">
        <v>19</v>
      </c>
    </row>
    <row r="530" spans="1:14" x14ac:dyDescent="0.3">
      <c r="A530" t="s">
        <v>563</v>
      </c>
      <c r="B530">
        <v>19</v>
      </c>
      <c r="C530" t="s">
        <v>15</v>
      </c>
      <c r="D530" t="s">
        <v>16</v>
      </c>
      <c r="E530">
        <v>2</v>
      </c>
      <c r="F530">
        <v>8.81</v>
      </c>
      <c r="G530">
        <v>7</v>
      </c>
      <c r="H530">
        <v>91.9</v>
      </c>
      <c r="I530" t="s">
        <v>27</v>
      </c>
      <c r="J530" t="s">
        <v>33</v>
      </c>
      <c r="K530">
        <v>5.5</v>
      </c>
      <c r="L530">
        <v>10</v>
      </c>
      <c r="M530">
        <v>7.3</v>
      </c>
      <c r="N530" t="s">
        <v>24</v>
      </c>
    </row>
    <row r="531" spans="1:14" x14ac:dyDescent="0.3">
      <c r="A531" t="s">
        <v>564</v>
      </c>
      <c r="B531">
        <v>23</v>
      </c>
      <c r="C531" t="s">
        <v>15</v>
      </c>
      <c r="D531" t="s">
        <v>48</v>
      </c>
      <c r="E531">
        <v>2</v>
      </c>
      <c r="F531">
        <v>8.6999999999999993</v>
      </c>
      <c r="G531">
        <v>7</v>
      </c>
      <c r="H531">
        <v>57</v>
      </c>
      <c r="I531" t="s">
        <v>30</v>
      </c>
      <c r="J531" t="s">
        <v>18</v>
      </c>
      <c r="K531">
        <v>2.2999999999999998</v>
      </c>
      <c r="L531">
        <v>8</v>
      </c>
      <c r="M531">
        <v>9.1</v>
      </c>
      <c r="N531" t="s">
        <v>19</v>
      </c>
    </row>
    <row r="532" spans="1:14" x14ac:dyDescent="0.3">
      <c r="A532" t="s">
        <v>565</v>
      </c>
      <c r="B532">
        <v>19</v>
      </c>
      <c r="C532" t="s">
        <v>15</v>
      </c>
      <c r="D532" t="s">
        <v>32</v>
      </c>
      <c r="E532">
        <v>3</v>
      </c>
      <c r="F532">
        <v>5.73</v>
      </c>
      <c r="G532">
        <v>9</v>
      </c>
      <c r="H532">
        <v>78.8</v>
      </c>
      <c r="I532" t="s">
        <v>30</v>
      </c>
      <c r="J532" t="s">
        <v>18</v>
      </c>
      <c r="K532">
        <v>4.2</v>
      </c>
      <c r="L532">
        <v>2</v>
      </c>
      <c r="M532">
        <v>5</v>
      </c>
      <c r="N532" t="s">
        <v>24</v>
      </c>
    </row>
    <row r="533" spans="1:14" x14ac:dyDescent="0.3">
      <c r="A533" t="s">
        <v>566</v>
      </c>
      <c r="B533">
        <v>21</v>
      </c>
      <c r="C533" t="s">
        <v>15</v>
      </c>
      <c r="D533" t="s">
        <v>32</v>
      </c>
      <c r="E533">
        <v>4</v>
      </c>
      <c r="F533">
        <v>4.9800000000000004</v>
      </c>
      <c r="G533">
        <v>3</v>
      </c>
      <c r="H533">
        <v>88</v>
      </c>
      <c r="I533" t="s">
        <v>30</v>
      </c>
      <c r="J533" t="s">
        <v>18</v>
      </c>
      <c r="K533">
        <v>2</v>
      </c>
      <c r="L533">
        <v>9</v>
      </c>
      <c r="M533">
        <v>4.0999999999999996</v>
      </c>
      <c r="N533" t="s">
        <v>24</v>
      </c>
    </row>
    <row r="534" spans="1:14" x14ac:dyDescent="0.3">
      <c r="A534" t="s">
        <v>567</v>
      </c>
      <c r="B534">
        <v>23</v>
      </c>
      <c r="C534" t="s">
        <v>21</v>
      </c>
      <c r="D534" t="s">
        <v>16</v>
      </c>
      <c r="E534">
        <v>1</v>
      </c>
      <c r="F534">
        <v>6.32</v>
      </c>
      <c r="G534">
        <v>2</v>
      </c>
      <c r="H534">
        <v>66.3</v>
      </c>
      <c r="I534" t="s">
        <v>30</v>
      </c>
      <c r="J534" t="s">
        <v>18</v>
      </c>
      <c r="K534">
        <v>6.9</v>
      </c>
      <c r="L534">
        <v>1</v>
      </c>
      <c r="M534">
        <v>7.1</v>
      </c>
      <c r="N534" t="s">
        <v>24</v>
      </c>
    </row>
    <row r="535" spans="1:14" x14ac:dyDescent="0.3">
      <c r="A535" t="s">
        <v>568</v>
      </c>
      <c r="B535">
        <v>17</v>
      </c>
      <c r="C535" t="s">
        <v>15</v>
      </c>
      <c r="D535" t="s">
        <v>39</v>
      </c>
      <c r="E535">
        <v>1</v>
      </c>
      <c r="F535">
        <v>6.09</v>
      </c>
      <c r="G535">
        <v>2</v>
      </c>
      <c r="H535">
        <v>79.900000000000006</v>
      </c>
      <c r="I535" t="s">
        <v>27</v>
      </c>
      <c r="J535" t="s">
        <v>23</v>
      </c>
      <c r="K535">
        <v>3.5</v>
      </c>
      <c r="L535">
        <v>4</v>
      </c>
      <c r="M535">
        <v>4.0999999999999996</v>
      </c>
      <c r="N535" t="s">
        <v>19</v>
      </c>
    </row>
    <row r="536" spans="1:14" x14ac:dyDescent="0.3">
      <c r="A536" t="s">
        <v>569</v>
      </c>
      <c r="B536">
        <v>20</v>
      </c>
      <c r="C536" t="s">
        <v>21</v>
      </c>
      <c r="D536" t="s">
        <v>29</v>
      </c>
      <c r="E536">
        <v>2</v>
      </c>
      <c r="F536">
        <v>9.99</v>
      </c>
      <c r="G536">
        <v>10</v>
      </c>
      <c r="H536">
        <v>88.1</v>
      </c>
      <c r="I536" t="s">
        <v>27</v>
      </c>
      <c r="J536" t="s">
        <v>33</v>
      </c>
      <c r="K536">
        <v>1.6</v>
      </c>
      <c r="L536">
        <v>10</v>
      </c>
      <c r="M536">
        <v>8.9</v>
      </c>
      <c r="N536" t="s">
        <v>24</v>
      </c>
    </row>
    <row r="537" spans="1:14" x14ac:dyDescent="0.3">
      <c r="A537" t="s">
        <v>570</v>
      </c>
      <c r="B537">
        <v>25</v>
      </c>
      <c r="C537" t="s">
        <v>15</v>
      </c>
      <c r="D537" t="s">
        <v>39</v>
      </c>
      <c r="E537">
        <v>2</v>
      </c>
      <c r="F537">
        <v>7.31</v>
      </c>
      <c r="G537">
        <v>7</v>
      </c>
      <c r="H537">
        <v>90.6</v>
      </c>
      <c r="I537" t="s">
        <v>17</v>
      </c>
      <c r="J537" t="s">
        <v>23</v>
      </c>
      <c r="K537">
        <v>2.2999999999999998</v>
      </c>
      <c r="L537">
        <v>1</v>
      </c>
      <c r="M537">
        <v>8.8000000000000007</v>
      </c>
      <c r="N537" t="s">
        <v>24</v>
      </c>
    </row>
    <row r="538" spans="1:14" x14ac:dyDescent="0.3">
      <c r="A538" t="s">
        <v>571</v>
      </c>
      <c r="B538">
        <v>20</v>
      </c>
      <c r="C538" t="s">
        <v>21</v>
      </c>
      <c r="D538" t="s">
        <v>26</v>
      </c>
      <c r="E538">
        <v>1</v>
      </c>
      <c r="F538">
        <v>9.11</v>
      </c>
      <c r="G538">
        <v>4</v>
      </c>
      <c r="H538">
        <v>74.7</v>
      </c>
      <c r="I538" t="s">
        <v>30</v>
      </c>
      <c r="J538" t="s">
        <v>54</v>
      </c>
      <c r="K538">
        <v>5.7</v>
      </c>
      <c r="L538">
        <v>8</v>
      </c>
      <c r="M538">
        <v>8.1999999999999993</v>
      </c>
      <c r="N538" t="s">
        <v>24</v>
      </c>
    </row>
    <row r="539" spans="1:14" x14ac:dyDescent="0.3">
      <c r="A539" t="s">
        <v>572</v>
      </c>
      <c r="B539">
        <v>20</v>
      </c>
      <c r="C539" t="s">
        <v>21</v>
      </c>
      <c r="D539" t="s">
        <v>37</v>
      </c>
      <c r="E539">
        <v>2</v>
      </c>
      <c r="F539">
        <v>9.41</v>
      </c>
      <c r="G539">
        <v>7</v>
      </c>
      <c r="H539">
        <v>72.5</v>
      </c>
      <c r="I539" t="s">
        <v>27</v>
      </c>
      <c r="J539" t="s">
        <v>23</v>
      </c>
      <c r="K539">
        <v>0.5</v>
      </c>
      <c r="L539">
        <v>6</v>
      </c>
      <c r="M539">
        <v>5.8</v>
      </c>
      <c r="N539" t="s">
        <v>19</v>
      </c>
    </row>
    <row r="540" spans="1:14" x14ac:dyDescent="0.3">
      <c r="A540" t="s">
        <v>573</v>
      </c>
      <c r="B540">
        <v>24</v>
      </c>
      <c r="C540" t="s">
        <v>21</v>
      </c>
      <c r="D540" t="s">
        <v>32</v>
      </c>
      <c r="E540">
        <v>4</v>
      </c>
      <c r="F540">
        <v>4.78</v>
      </c>
      <c r="G540">
        <v>4</v>
      </c>
      <c r="H540">
        <v>85.2</v>
      </c>
      <c r="I540" t="s">
        <v>17</v>
      </c>
      <c r="J540" t="s">
        <v>18</v>
      </c>
      <c r="K540">
        <v>0.6</v>
      </c>
      <c r="L540">
        <v>4</v>
      </c>
      <c r="M540">
        <v>6.1</v>
      </c>
      <c r="N540" t="s">
        <v>19</v>
      </c>
    </row>
    <row r="541" spans="1:14" x14ac:dyDescent="0.3">
      <c r="A541" t="s">
        <v>574</v>
      </c>
      <c r="B541">
        <v>24</v>
      </c>
      <c r="C541" t="s">
        <v>15</v>
      </c>
      <c r="D541" t="s">
        <v>32</v>
      </c>
      <c r="E541">
        <v>3</v>
      </c>
      <c r="F541">
        <v>4.8600000000000003</v>
      </c>
      <c r="G541">
        <v>10</v>
      </c>
      <c r="H541">
        <v>72.7</v>
      </c>
      <c r="I541" t="s">
        <v>27</v>
      </c>
      <c r="J541" t="s">
        <v>35</v>
      </c>
      <c r="K541">
        <v>4.8</v>
      </c>
      <c r="L541">
        <v>2</v>
      </c>
      <c r="M541">
        <v>8.4</v>
      </c>
      <c r="N541" t="s">
        <v>24</v>
      </c>
    </row>
    <row r="542" spans="1:14" x14ac:dyDescent="0.3">
      <c r="A542" t="s">
        <v>575</v>
      </c>
      <c r="B542">
        <v>20</v>
      </c>
      <c r="C542" t="s">
        <v>21</v>
      </c>
      <c r="D542" t="s">
        <v>39</v>
      </c>
      <c r="E542">
        <v>3</v>
      </c>
      <c r="F542">
        <v>6.84</v>
      </c>
      <c r="G542">
        <v>6</v>
      </c>
      <c r="H542">
        <v>92</v>
      </c>
      <c r="I542" t="s">
        <v>30</v>
      </c>
      <c r="J542" t="s">
        <v>18</v>
      </c>
      <c r="K542">
        <v>5.3</v>
      </c>
      <c r="L542">
        <v>5</v>
      </c>
      <c r="M542">
        <v>9.1</v>
      </c>
      <c r="N542" t="s">
        <v>19</v>
      </c>
    </row>
    <row r="543" spans="1:14" x14ac:dyDescent="0.3">
      <c r="A543" t="s">
        <v>576</v>
      </c>
      <c r="B543">
        <v>25</v>
      </c>
      <c r="C543" t="s">
        <v>21</v>
      </c>
      <c r="D543" t="s">
        <v>16</v>
      </c>
      <c r="E543">
        <v>2</v>
      </c>
      <c r="F543">
        <v>7.28</v>
      </c>
      <c r="G543">
        <v>6</v>
      </c>
      <c r="H543">
        <v>98.7</v>
      </c>
      <c r="I543" t="s">
        <v>27</v>
      </c>
      <c r="J543" t="s">
        <v>18</v>
      </c>
      <c r="K543">
        <v>5.5</v>
      </c>
      <c r="L543">
        <v>4</v>
      </c>
      <c r="M543">
        <v>4.7</v>
      </c>
      <c r="N543" t="s">
        <v>19</v>
      </c>
    </row>
    <row r="544" spans="1:14" x14ac:dyDescent="0.3">
      <c r="A544" t="s">
        <v>577</v>
      </c>
      <c r="B544">
        <v>23</v>
      </c>
      <c r="C544" t="s">
        <v>15</v>
      </c>
      <c r="D544" t="s">
        <v>43</v>
      </c>
      <c r="E544">
        <v>1</v>
      </c>
      <c r="F544">
        <v>6.97</v>
      </c>
      <c r="G544">
        <v>4</v>
      </c>
      <c r="H544">
        <v>89.4</v>
      </c>
      <c r="I544" t="s">
        <v>17</v>
      </c>
      <c r="J544" t="s">
        <v>33</v>
      </c>
      <c r="K544">
        <v>4</v>
      </c>
      <c r="L544">
        <v>7</v>
      </c>
      <c r="M544">
        <v>8.6999999999999993</v>
      </c>
      <c r="N544" t="s">
        <v>19</v>
      </c>
    </row>
    <row r="545" spans="1:14" x14ac:dyDescent="0.3">
      <c r="A545" t="s">
        <v>578</v>
      </c>
      <c r="B545">
        <v>22</v>
      </c>
      <c r="C545" t="s">
        <v>21</v>
      </c>
      <c r="D545" t="s">
        <v>16</v>
      </c>
      <c r="E545">
        <v>3</v>
      </c>
      <c r="F545">
        <v>6.39</v>
      </c>
      <c r="G545">
        <v>7</v>
      </c>
      <c r="H545">
        <v>69</v>
      </c>
      <c r="I545" t="s">
        <v>30</v>
      </c>
      <c r="J545" t="s">
        <v>54</v>
      </c>
      <c r="K545">
        <v>8.1999999999999993</v>
      </c>
      <c r="L545">
        <v>10</v>
      </c>
      <c r="M545">
        <v>9.6999999999999993</v>
      </c>
      <c r="N545" t="s">
        <v>24</v>
      </c>
    </row>
    <row r="546" spans="1:14" x14ac:dyDescent="0.3">
      <c r="A546" t="s">
        <v>579</v>
      </c>
      <c r="B546">
        <v>24</v>
      </c>
      <c r="C546" t="s">
        <v>21</v>
      </c>
      <c r="D546" t="s">
        <v>37</v>
      </c>
      <c r="E546">
        <v>1</v>
      </c>
      <c r="F546">
        <v>4.08</v>
      </c>
      <c r="G546">
        <v>8</v>
      </c>
      <c r="H546">
        <v>84.1</v>
      </c>
      <c r="I546" t="s">
        <v>17</v>
      </c>
      <c r="J546" t="s">
        <v>23</v>
      </c>
      <c r="K546">
        <v>6.3</v>
      </c>
      <c r="L546">
        <v>5</v>
      </c>
      <c r="M546">
        <v>3.9</v>
      </c>
      <c r="N546" t="s">
        <v>19</v>
      </c>
    </row>
    <row r="547" spans="1:14" x14ac:dyDescent="0.3">
      <c r="A547" t="s">
        <v>580</v>
      </c>
      <c r="B547">
        <v>27</v>
      </c>
      <c r="C547" t="s">
        <v>21</v>
      </c>
      <c r="D547" t="s">
        <v>26</v>
      </c>
      <c r="E547">
        <v>1</v>
      </c>
      <c r="F547">
        <v>9.15</v>
      </c>
      <c r="G547">
        <v>5</v>
      </c>
      <c r="H547">
        <v>81.5</v>
      </c>
      <c r="I547" t="s">
        <v>30</v>
      </c>
      <c r="J547" t="s">
        <v>54</v>
      </c>
      <c r="K547">
        <v>5.8</v>
      </c>
      <c r="L547">
        <v>9</v>
      </c>
      <c r="M547">
        <v>8.6999999999999993</v>
      </c>
      <c r="N547" t="s">
        <v>24</v>
      </c>
    </row>
    <row r="548" spans="1:14" x14ac:dyDescent="0.3">
      <c r="A548" t="s">
        <v>581</v>
      </c>
      <c r="B548">
        <v>26</v>
      </c>
      <c r="C548" t="s">
        <v>15</v>
      </c>
      <c r="D548" t="s">
        <v>48</v>
      </c>
      <c r="E548">
        <v>3</v>
      </c>
      <c r="F548">
        <v>7.63</v>
      </c>
      <c r="G548">
        <v>4</v>
      </c>
      <c r="H548">
        <v>87.8</v>
      </c>
      <c r="I548" t="s">
        <v>27</v>
      </c>
      <c r="J548" t="s">
        <v>23</v>
      </c>
      <c r="K548">
        <v>0.3</v>
      </c>
      <c r="L548">
        <v>8</v>
      </c>
      <c r="M548">
        <v>7</v>
      </c>
      <c r="N548" t="s">
        <v>19</v>
      </c>
    </row>
    <row r="549" spans="1:14" x14ac:dyDescent="0.3">
      <c r="A549" t="s">
        <v>582</v>
      </c>
      <c r="B549">
        <v>20</v>
      </c>
      <c r="C549" t="s">
        <v>15</v>
      </c>
      <c r="D549" t="s">
        <v>37</v>
      </c>
      <c r="E549">
        <v>1</v>
      </c>
      <c r="F549">
        <v>5.73</v>
      </c>
      <c r="G549">
        <v>4</v>
      </c>
      <c r="H549">
        <v>69.599999999999994</v>
      </c>
      <c r="I549" t="s">
        <v>27</v>
      </c>
      <c r="J549" t="s">
        <v>35</v>
      </c>
      <c r="K549">
        <v>3.5</v>
      </c>
      <c r="L549">
        <v>2</v>
      </c>
      <c r="M549">
        <v>6.7</v>
      </c>
      <c r="N549" t="s">
        <v>19</v>
      </c>
    </row>
    <row r="550" spans="1:14" x14ac:dyDescent="0.3">
      <c r="A550" t="s">
        <v>583</v>
      </c>
      <c r="B550">
        <v>26</v>
      </c>
      <c r="C550" t="s">
        <v>21</v>
      </c>
      <c r="D550" t="s">
        <v>37</v>
      </c>
      <c r="E550">
        <v>1</v>
      </c>
      <c r="F550">
        <v>7.55</v>
      </c>
      <c r="G550">
        <v>2</v>
      </c>
      <c r="H550">
        <v>73.7</v>
      </c>
      <c r="I550" t="s">
        <v>30</v>
      </c>
      <c r="J550" t="s">
        <v>54</v>
      </c>
      <c r="K550">
        <v>2.1</v>
      </c>
      <c r="L550">
        <v>2</v>
      </c>
      <c r="M550">
        <v>3.5</v>
      </c>
      <c r="N550" t="s">
        <v>24</v>
      </c>
    </row>
    <row r="551" spans="1:14" x14ac:dyDescent="0.3">
      <c r="A551" t="s">
        <v>584</v>
      </c>
      <c r="B551">
        <v>24</v>
      </c>
      <c r="C551" t="s">
        <v>21</v>
      </c>
      <c r="D551" t="s">
        <v>29</v>
      </c>
      <c r="E551">
        <v>2</v>
      </c>
      <c r="F551">
        <v>5.01</v>
      </c>
      <c r="G551">
        <v>3</v>
      </c>
      <c r="H551">
        <v>77.099999999999994</v>
      </c>
      <c r="I551" t="s">
        <v>17</v>
      </c>
      <c r="J551" t="s">
        <v>35</v>
      </c>
      <c r="K551">
        <v>4.5</v>
      </c>
      <c r="L551">
        <v>10</v>
      </c>
      <c r="M551">
        <v>8.5</v>
      </c>
      <c r="N551" t="s">
        <v>24</v>
      </c>
    </row>
    <row r="552" spans="1:14" x14ac:dyDescent="0.3">
      <c r="A552" t="s">
        <v>585</v>
      </c>
      <c r="B552">
        <v>23</v>
      </c>
      <c r="C552" t="s">
        <v>21</v>
      </c>
      <c r="D552" t="s">
        <v>29</v>
      </c>
      <c r="E552">
        <v>2</v>
      </c>
      <c r="F552">
        <v>9.66</v>
      </c>
      <c r="G552">
        <v>7</v>
      </c>
      <c r="H552">
        <v>78</v>
      </c>
      <c r="I552" t="s">
        <v>17</v>
      </c>
      <c r="J552" t="s">
        <v>23</v>
      </c>
      <c r="K552">
        <v>0.5</v>
      </c>
      <c r="L552">
        <v>9</v>
      </c>
      <c r="M552">
        <v>5.8</v>
      </c>
      <c r="N552" t="s">
        <v>19</v>
      </c>
    </row>
    <row r="553" spans="1:14" x14ac:dyDescent="0.3">
      <c r="A553" t="s">
        <v>586</v>
      </c>
      <c r="B553">
        <v>17</v>
      </c>
      <c r="C553" t="s">
        <v>21</v>
      </c>
      <c r="D553" t="s">
        <v>16</v>
      </c>
      <c r="E553">
        <v>1</v>
      </c>
      <c r="F553">
        <v>8.14</v>
      </c>
      <c r="G553">
        <v>4</v>
      </c>
      <c r="H553">
        <v>94.3</v>
      </c>
      <c r="I553" t="s">
        <v>30</v>
      </c>
      <c r="J553" t="s">
        <v>33</v>
      </c>
      <c r="K553">
        <v>5.8</v>
      </c>
      <c r="L553">
        <v>8</v>
      </c>
      <c r="M553">
        <v>9.1</v>
      </c>
      <c r="N553" t="s">
        <v>19</v>
      </c>
    </row>
    <row r="554" spans="1:14" x14ac:dyDescent="0.3">
      <c r="A554" t="s">
        <v>587</v>
      </c>
      <c r="B554">
        <v>26</v>
      </c>
      <c r="C554" t="s">
        <v>15</v>
      </c>
      <c r="D554" t="s">
        <v>37</v>
      </c>
      <c r="E554">
        <v>3</v>
      </c>
      <c r="F554">
        <v>9.24</v>
      </c>
      <c r="G554">
        <v>7</v>
      </c>
      <c r="H554">
        <v>83.1</v>
      </c>
      <c r="I554" t="s">
        <v>27</v>
      </c>
      <c r="J554" t="s">
        <v>18</v>
      </c>
      <c r="K554">
        <v>1.5</v>
      </c>
      <c r="L554">
        <v>5</v>
      </c>
      <c r="M554">
        <v>7</v>
      </c>
      <c r="N554" t="s">
        <v>24</v>
      </c>
    </row>
    <row r="555" spans="1:14" x14ac:dyDescent="0.3">
      <c r="A555" t="s">
        <v>588</v>
      </c>
      <c r="B555">
        <v>23</v>
      </c>
      <c r="C555" t="s">
        <v>15</v>
      </c>
      <c r="D555" t="s">
        <v>43</v>
      </c>
      <c r="E555">
        <v>2</v>
      </c>
      <c r="F555">
        <v>5.0999999999999996</v>
      </c>
      <c r="G555">
        <v>6</v>
      </c>
      <c r="H555">
        <v>92</v>
      </c>
      <c r="I555" t="s">
        <v>27</v>
      </c>
      <c r="J555" t="s">
        <v>54</v>
      </c>
      <c r="K555">
        <v>2.2000000000000002</v>
      </c>
      <c r="L555">
        <v>6</v>
      </c>
      <c r="M555">
        <v>4.0999999999999996</v>
      </c>
      <c r="N555" t="s">
        <v>19</v>
      </c>
    </row>
    <row r="556" spans="1:14" x14ac:dyDescent="0.3">
      <c r="A556" t="s">
        <v>589</v>
      </c>
      <c r="B556">
        <v>18</v>
      </c>
      <c r="C556" t="s">
        <v>21</v>
      </c>
      <c r="D556" t="s">
        <v>29</v>
      </c>
      <c r="E556">
        <v>1</v>
      </c>
      <c r="F556">
        <v>6.23</v>
      </c>
      <c r="G556">
        <v>10</v>
      </c>
      <c r="H556">
        <v>64.400000000000006</v>
      </c>
      <c r="I556" t="s">
        <v>30</v>
      </c>
      <c r="J556" t="s">
        <v>23</v>
      </c>
      <c r="K556">
        <v>4.2</v>
      </c>
      <c r="L556">
        <v>7</v>
      </c>
      <c r="M556">
        <v>6.7</v>
      </c>
      <c r="N556" t="s">
        <v>24</v>
      </c>
    </row>
    <row r="557" spans="1:14" x14ac:dyDescent="0.3">
      <c r="A557" t="s">
        <v>590</v>
      </c>
      <c r="B557">
        <v>26</v>
      </c>
      <c r="C557" t="s">
        <v>15</v>
      </c>
      <c r="D557" t="s">
        <v>43</v>
      </c>
      <c r="E557">
        <v>2</v>
      </c>
      <c r="F557">
        <v>7.75</v>
      </c>
      <c r="G557">
        <v>8</v>
      </c>
      <c r="H557">
        <v>88.6</v>
      </c>
      <c r="I557" t="s">
        <v>30</v>
      </c>
      <c r="J557" t="s">
        <v>23</v>
      </c>
      <c r="K557">
        <v>4.2</v>
      </c>
      <c r="L557">
        <v>2</v>
      </c>
      <c r="M557">
        <v>8.6</v>
      </c>
      <c r="N557" t="s">
        <v>24</v>
      </c>
    </row>
    <row r="558" spans="1:14" x14ac:dyDescent="0.3">
      <c r="A558" t="s">
        <v>591</v>
      </c>
      <c r="B558">
        <v>22</v>
      </c>
      <c r="C558" t="s">
        <v>15</v>
      </c>
      <c r="D558" t="s">
        <v>22</v>
      </c>
      <c r="E558">
        <v>1</v>
      </c>
      <c r="F558">
        <v>5.33</v>
      </c>
      <c r="G558">
        <v>6</v>
      </c>
      <c r="H558">
        <v>98.1</v>
      </c>
      <c r="I558" t="s">
        <v>17</v>
      </c>
      <c r="J558" t="s">
        <v>18</v>
      </c>
      <c r="K558">
        <v>5.2</v>
      </c>
      <c r="L558">
        <v>5</v>
      </c>
      <c r="M558">
        <v>4.7</v>
      </c>
      <c r="N558" t="s">
        <v>19</v>
      </c>
    </row>
    <row r="559" spans="1:14" x14ac:dyDescent="0.3">
      <c r="A559" t="s">
        <v>592</v>
      </c>
      <c r="B559">
        <v>19</v>
      </c>
      <c r="C559" t="s">
        <v>15</v>
      </c>
      <c r="D559" t="s">
        <v>22</v>
      </c>
      <c r="E559">
        <v>1</v>
      </c>
      <c r="F559">
        <v>4.22</v>
      </c>
      <c r="G559">
        <v>9</v>
      </c>
      <c r="H559">
        <v>89.6</v>
      </c>
      <c r="I559" t="s">
        <v>17</v>
      </c>
      <c r="J559" t="s">
        <v>35</v>
      </c>
      <c r="K559">
        <v>5.2</v>
      </c>
      <c r="L559">
        <v>4</v>
      </c>
      <c r="M559">
        <v>9.8000000000000007</v>
      </c>
      <c r="N559" t="s">
        <v>24</v>
      </c>
    </row>
    <row r="560" spans="1:14" x14ac:dyDescent="0.3">
      <c r="A560" t="s">
        <v>593</v>
      </c>
      <c r="B560">
        <v>26</v>
      </c>
      <c r="C560" t="s">
        <v>21</v>
      </c>
      <c r="D560" t="s">
        <v>39</v>
      </c>
      <c r="E560">
        <v>2</v>
      </c>
      <c r="F560">
        <v>5.1100000000000003</v>
      </c>
      <c r="G560">
        <v>8</v>
      </c>
      <c r="H560">
        <v>65</v>
      </c>
      <c r="I560" t="s">
        <v>27</v>
      </c>
      <c r="J560" t="s">
        <v>33</v>
      </c>
      <c r="K560">
        <v>8.4</v>
      </c>
      <c r="L560">
        <v>7</v>
      </c>
      <c r="M560">
        <v>9.9</v>
      </c>
      <c r="N560" t="s">
        <v>19</v>
      </c>
    </row>
    <row r="561" spans="1:14" x14ac:dyDescent="0.3">
      <c r="A561" t="s">
        <v>594</v>
      </c>
      <c r="B561">
        <v>23</v>
      </c>
      <c r="C561" t="s">
        <v>15</v>
      </c>
      <c r="D561" t="s">
        <v>29</v>
      </c>
      <c r="E561">
        <v>1</v>
      </c>
      <c r="F561">
        <v>5.2</v>
      </c>
      <c r="G561">
        <v>6</v>
      </c>
      <c r="H561">
        <v>55.3</v>
      </c>
      <c r="I561" t="s">
        <v>30</v>
      </c>
      <c r="J561" t="s">
        <v>35</v>
      </c>
      <c r="K561">
        <v>0.3</v>
      </c>
      <c r="L561">
        <v>7</v>
      </c>
      <c r="M561">
        <v>4.9000000000000004</v>
      </c>
      <c r="N561" t="s">
        <v>19</v>
      </c>
    </row>
    <row r="562" spans="1:14" x14ac:dyDescent="0.3">
      <c r="A562" t="s">
        <v>595</v>
      </c>
      <c r="B562">
        <v>20</v>
      </c>
      <c r="C562" t="s">
        <v>15</v>
      </c>
      <c r="D562" t="s">
        <v>39</v>
      </c>
      <c r="E562">
        <v>1</v>
      </c>
      <c r="F562">
        <v>4.76</v>
      </c>
      <c r="G562">
        <v>9</v>
      </c>
      <c r="H562">
        <v>80.7</v>
      </c>
      <c r="I562" t="s">
        <v>30</v>
      </c>
      <c r="J562" t="s">
        <v>33</v>
      </c>
      <c r="K562">
        <v>1.4</v>
      </c>
      <c r="L562">
        <v>10</v>
      </c>
      <c r="M562">
        <v>5.4</v>
      </c>
      <c r="N562" t="s">
        <v>19</v>
      </c>
    </row>
    <row r="563" spans="1:14" x14ac:dyDescent="0.3">
      <c r="A563" t="s">
        <v>596</v>
      </c>
      <c r="B563">
        <v>24</v>
      </c>
      <c r="C563" t="s">
        <v>21</v>
      </c>
      <c r="D563" t="s">
        <v>29</v>
      </c>
      <c r="E563">
        <v>1</v>
      </c>
      <c r="F563">
        <v>6.67</v>
      </c>
      <c r="G563">
        <v>8</v>
      </c>
      <c r="H563">
        <v>63.6</v>
      </c>
      <c r="I563" t="s">
        <v>17</v>
      </c>
      <c r="J563" t="s">
        <v>33</v>
      </c>
      <c r="K563">
        <v>1.1000000000000001</v>
      </c>
      <c r="L563">
        <v>2</v>
      </c>
      <c r="M563">
        <v>8.5</v>
      </c>
      <c r="N563" t="s">
        <v>24</v>
      </c>
    </row>
    <row r="564" spans="1:14" x14ac:dyDescent="0.3">
      <c r="A564" t="s">
        <v>597</v>
      </c>
      <c r="B564">
        <v>17</v>
      </c>
      <c r="C564" t="s">
        <v>21</v>
      </c>
      <c r="D564" t="s">
        <v>43</v>
      </c>
      <c r="E564">
        <v>2</v>
      </c>
      <c r="F564">
        <v>4.6399999999999997</v>
      </c>
      <c r="G564">
        <v>4</v>
      </c>
      <c r="H564">
        <v>87.4</v>
      </c>
      <c r="I564" t="s">
        <v>30</v>
      </c>
      <c r="J564" t="s">
        <v>18</v>
      </c>
      <c r="K564">
        <v>4.8</v>
      </c>
      <c r="L564">
        <v>4</v>
      </c>
      <c r="M564">
        <v>8.6</v>
      </c>
      <c r="N564" t="s">
        <v>19</v>
      </c>
    </row>
    <row r="565" spans="1:14" x14ac:dyDescent="0.3">
      <c r="A565" t="s">
        <v>598</v>
      </c>
      <c r="B565">
        <v>24</v>
      </c>
      <c r="C565" t="s">
        <v>15</v>
      </c>
      <c r="D565" t="s">
        <v>39</v>
      </c>
      <c r="E565">
        <v>1</v>
      </c>
      <c r="F565">
        <v>4.99</v>
      </c>
      <c r="G565">
        <v>5</v>
      </c>
      <c r="H565">
        <v>82.9</v>
      </c>
      <c r="I565" t="s">
        <v>17</v>
      </c>
      <c r="J565" t="s">
        <v>33</v>
      </c>
      <c r="K565">
        <v>5</v>
      </c>
      <c r="L565">
        <v>3</v>
      </c>
      <c r="M565">
        <v>7.7</v>
      </c>
      <c r="N565" t="s">
        <v>19</v>
      </c>
    </row>
    <row r="566" spans="1:14" x14ac:dyDescent="0.3">
      <c r="A566" t="s">
        <v>599</v>
      </c>
      <c r="B566">
        <v>19</v>
      </c>
      <c r="C566" t="s">
        <v>15</v>
      </c>
      <c r="D566" t="s">
        <v>29</v>
      </c>
      <c r="E566">
        <v>2</v>
      </c>
      <c r="F566">
        <v>4.3499999999999996</v>
      </c>
      <c r="G566">
        <v>10</v>
      </c>
      <c r="H566">
        <v>68.7</v>
      </c>
      <c r="I566" t="s">
        <v>17</v>
      </c>
      <c r="J566" t="s">
        <v>35</v>
      </c>
      <c r="K566">
        <v>2</v>
      </c>
      <c r="L566">
        <v>3</v>
      </c>
      <c r="M566">
        <v>8.4</v>
      </c>
      <c r="N566" t="s">
        <v>24</v>
      </c>
    </row>
    <row r="567" spans="1:14" x14ac:dyDescent="0.3">
      <c r="A567" t="s">
        <v>600</v>
      </c>
      <c r="B567">
        <v>26</v>
      </c>
      <c r="C567" t="s">
        <v>21</v>
      </c>
      <c r="D567" t="s">
        <v>39</v>
      </c>
      <c r="E567">
        <v>2</v>
      </c>
      <c r="F567">
        <v>6.79</v>
      </c>
      <c r="G567">
        <v>10</v>
      </c>
      <c r="H567">
        <v>73</v>
      </c>
      <c r="I567" t="s">
        <v>30</v>
      </c>
      <c r="J567" t="s">
        <v>33</v>
      </c>
      <c r="K567">
        <v>1.8</v>
      </c>
      <c r="L567">
        <v>1</v>
      </c>
      <c r="M567">
        <v>4.2</v>
      </c>
      <c r="N567" t="s">
        <v>19</v>
      </c>
    </row>
    <row r="568" spans="1:14" x14ac:dyDescent="0.3">
      <c r="A568" t="s">
        <v>601</v>
      </c>
      <c r="B568">
        <v>17</v>
      </c>
      <c r="C568" t="s">
        <v>21</v>
      </c>
      <c r="D568" t="s">
        <v>29</v>
      </c>
      <c r="E568">
        <v>1</v>
      </c>
      <c r="F568">
        <v>9.99</v>
      </c>
      <c r="G568">
        <v>9</v>
      </c>
      <c r="H568">
        <v>75.5</v>
      </c>
      <c r="I568" t="s">
        <v>30</v>
      </c>
      <c r="J568" t="s">
        <v>54</v>
      </c>
      <c r="K568">
        <v>7.1</v>
      </c>
      <c r="L568">
        <v>3</v>
      </c>
      <c r="M568">
        <v>7.8</v>
      </c>
      <c r="N568" t="s">
        <v>19</v>
      </c>
    </row>
    <row r="569" spans="1:14" x14ac:dyDescent="0.3">
      <c r="A569" t="s">
        <v>602</v>
      </c>
      <c r="B569">
        <v>24</v>
      </c>
      <c r="C569" t="s">
        <v>21</v>
      </c>
      <c r="D569" t="s">
        <v>26</v>
      </c>
      <c r="E569">
        <v>1</v>
      </c>
      <c r="F569">
        <v>8.43</v>
      </c>
      <c r="G569">
        <v>4</v>
      </c>
      <c r="H569">
        <v>90.1</v>
      </c>
      <c r="I569" t="s">
        <v>17</v>
      </c>
      <c r="J569" t="s">
        <v>23</v>
      </c>
      <c r="K569">
        <v>0.9</v>
      </c>
      <c r="L569">
        <v>5</v>
      </c>
      <c r="M569">
        <v>7.6</v>
      </c>
      <c r="N569" t="s">
        <v>24</v>
      </c>
    </row>
    <row r="570" spans="1:14" x14ac:dyDescent="0.3">
      <c r="A570" t="s">
        <v>603</v>
      </c>
      <c r="B570">
        <v>26</v>
      </c>
      <c r="C570" t="s">
        <v>15</v>
      </c>
      <c r="D570" t="s">
        <v>48</v>
      </c>
      <c r="E570">
        <v>3</v>
      </c>
      <c r="F570">
        <v>8.14</v>
      </c>
      <c r="G570">
        <v>4</v>
      </c>
      <c r="H570">
        <v>94</v>
      </c>
      <c r="I570" t="s">
        <v>27</v>
      </c>
      <c r="J570" t="s">
        <v>23</v>
      </c>
      <c r="K570">
        <v>7.7</v>
      </c>
      <c r="L570">
        <v>10</v>
      </c>
      <c r="M570">
        <v>3.5</v>
      </c>
      <c r="N570" t="s">
        <v>24</v>
      </c>
    </row>
    <row r="571" spans="1:14" x14ac:dyDescent="0.3">
      <c r="A571" t="s">
        <v>604</v>
      </c>
      <c r="B571">
        <v>23</v>
      </c>
      <c r="C571" t="s">
        <v>21</v>
      </c>
      <c r="D571" t="s">
        <v>43</v>
      </c>
      <c r="E571">
        <v>2</v>
      </c>
      <c r="F571">
        <v>5.55</v>
      </c>
      <c r="G571">
        <v>9</v>
      </c>
      <c r="H571">
        <v>85.5</v>
      </c>
      <c r="I571" t="s">
        <v>17</v>
      </c>
      <c r="J571" t="s">
        <v>33</v>
      </c>
      <c r="K571">
        <v>4.8</v>
      </c>
      <c r="L571">
        <v>10</v>
      </c>
      <c r="M571">
        <v>6.9</v>
      </c>
      <c r="N571" t="s">
        <v>19</v>
      </c>
    </row>
    <row r="572" spans="1:14" x14ac:dyDescent="0.3">
      <c r="A572" t="s">
        <v>605</v>
      </c>
      <c r="B572">
        <v>17</v>
      </c>
      <c r="C572" t="s">
        <v>15</v>
      </c>
      <c r="D572" t="s">
        <v>39</v>
      </c>
      <c r="E572">
        <v>2</v>
      </c>
      <c r="F572">
        <v>5.56</v>
      </c>
      <c r="G572">
        <v>6</v>
      </c>
      <c r="H572">
        <v>75.8</v>
      </c>
      <c r="I572" t="s">
        <v>30</v>
      </c>
      <c r="J572" t="s">
        <v>54</v>
      </c>
      <c r="K572">
        <v>7</v>
      </c>
      <c r="L572">
        <v>3</v>
      </c>
      <c r="M572">
        <v>9.6</v>
      </c>
      <c r="N572" t="s">
        <v>19</v>
      </c>
    </row>
    <row r="573" spans="1:14" x14ac:dyDescent="0.3">
      <c r="A573" t="s">
        <v>606</v>
      </c>
      <c r="B573">
        <v>23</v>
      </c>
      <c r="C573" t="s">
        <v>15</v>
      </c>
      <c r="D573" t="s">
        <v>26</v>
      </c>
      <c r="E573">
        <v>1</v>
      </c>
      <c r="F573">
        <v>9.2100000000000009</v>
      </c>
      <c r="G573">
        <v>10</v>
      </c>
      <c r="H573">
        <v>52.8</v>
      </c>
      <c r="I573" t="s">
        <v>17</v>
      </c>
      <c r="J573" t="s">
        <v>23</v>
      </c>
      <c r="K573">
        <v>7.1</v>
      </c>
      <c r="L573">
        <v>7</v>
      </c>
      <c r="M573">
        <v>9.1</v>
      </c>
      <c r="N573" t="s">
        <v>24</v>
      </c>
    </row>
    <row r="574" spans="1:14" x14ac:dyDescent="0.3">
      <c r="A574" t="s">
        <v>607</v>
      </c>
      <c r="B574">
        <v>18</v>
      </c>
      <c r="C574" t="s">
        <v>15</v>
      </c>
      <c r="D574" t="s">
        <v>29</v>
      </c>
      <c r="E574">
        <v>2</v>
      </c>
      <c r="F574">
        <v>6.46</v>
      </c>
      <c r="G574">
        <v>2</v>
      </c>
      <c r="H574">
        <v>54.1</v>
      </c>
      <c r="I574" t="s">
        <v>27</v>
      </c>
      <c r="J574" t="s">
        <v>18</v>
      </c>
      <c r="K574">
        <v>8</v>
      </c>
      <c r="L574">
        <v>6</v>
      </c>
      <c r="M574">
        <v>5.3</v>
      </c>
      <c r="N574" t="s">
        <v>24</v>
      </c>
    </row>
    <row r="575" spans="1:14" x14ac:dyDescent="0.3">
      <c r="A575" t="s">
        <v>608</v>
      </c>
      <c r="B575">
        <v>19</v>
      </c>
      <c r="C575" t="s">
        <v>15</v>
      </c>
      <c r="D575" t="s">
        <v>22</v>
      </c>
      <c r="E575">
        <v>1</v>
      </c>
      <c r="F575">
        <v>7.18</v>
      </c>
      <c r="G575">
        <v>4</v>
      </c>
      <c r="H575">
        <v>82.1</v>
      </c>
      <c r="I575" t="s">
        <v>27</v>
      </c>
      <c r="J575" t="s">
        <v>54</v>
      </c>
      <c r="K575">
        <v>5.5</v>
      </c>
      <c r="L575">
        <v>9</v>
      </c>
      <c r="M575">
        <v>4.2</v>
      </c>
      <c r="N575" t="s">
        <v>24</v>
      </c>
    </row>
    <row r="576" spans="1:14" x14ac:dyDescent="0.3">
      <c r="A576" t="s">
        <v>609</v>
      </c>
      <c r="B576">
        <v>25</v>
      </c>
      <c r="C576" t="s">
        <v>15</v>
      </c>
      <c r="D576" t="s">
        <v>39</v>
      </c>
      <c r="E576">
        <v>2</v>
      </c>
      <c r="F576">
        <v>9.66</v>
      </c>
      <c r="G576">
        <v>3</v>
      </c>
      <c r="H576">
        <v>75.2</v>
      </c>
      <c r="I576" t="s">
        <v>17</v>
      </c>
      <c r="J576" t="s">
        <v>23</v>
      </c>
      <c r="K576">
        <v>6.4</v>
      </c>
      <c r="L576">
        <v>5</v>
      </c>
      <c r="M576">
        <v>6.6</v>
      </c>
      <c r="N576" t="s">
        <v>24</v>
      </c>
    </row>
    <row r="577" spans="1:14" x14ac:dyDescent="0.3">
      <c r="A577" t="s">
        <v>610</v>
      </c>
      <c r="B577">
        <v>22</v>
      </c>
      <c r="C577" t="s">
        <v>21</v>
      </c>
      <c r="D577" t="s">
        <v>39</v>
      </c>
      <c r="E577">
        <v>1</v>
      </c>
      <c r="F577">
        <v>5.26</v>
      </c>
      <c r="G577">
        <v>4</v>
      </c>
      <c r="H577">
        <v>93.5</v>
      </c>
      <c r="I577" t="s">
        <v>27</v>
      </c>
      <c r="J577" t="s">
        <v>23</v>
      </c>
      <c r="K577">
        <v>1.2</v>
      </c>
      <c r="L577">
        <v>7</v>
      </c>
      <c r="M577">
        <v>4.2</v>
      </c>
      <c r="N577" t="s">
        <v>19</v>
      </c>
    </row>
    <row r="578" spans="1:14" x14ac:dyDescent="0.3">
      <c r="A578" t="s">
        <v>611</v>
      </c>
      <c r="B578">
        <v>26</v>
      </c>
      <c r="C578" t="s">
        <v>21</v>
      </c>
      <c r="D578" t="s">
        <v>29</v>
      </c>
      <c r="E578">
        <v>2</v>
      </c>
      <c r="F578">
        <v>8.41</v>
      </c>
      <c r="G578">
        <v>2</v>
      </c>
      <c r="H578">
        <v>69</v>
      </c>
      <c r="I578" t="s">
        <v>30</v>
      </c>
      <c r="J578" t="s">
        <v>33</v>
      </c>
      <c r="K578">
        <v>7.4</v>
      </c>
      <c r="L578">
        <v>6</v>
      </c>
      <c r="M578">
        <v>3.8</v>
      </c>
      <c r="N578" t="s">
        <v>19</v>
      </c>
    </row>
    <row r="579" spans="1:14" x14ac:dyDescent="0.3">
      <c r="A579" t="s">
        <v>612</v>
      </c>
      <c r="B579">
        <v>17</v>
      </c>
      <c r="C579" t="s">
        <v>15</v>
      </c>
      <c r="D579" t="s">
        <v>39</v>
      </c>
      <c r="E579">
        <v>3</v>
      </c>
      <c r="F579">
        <v>5.72</v>
      </c>
      <c r="G579">
        <v>5</v>
      </c>
      <c r="H579">
        <v>71.7</v>
      </c>
      <c r="I579" t="s">
        <v>30</v>
      </c>
      <c r="J579" t="s">
        <v>18</v>
      </c>
      <c r="K579">
        <v>2.6</v>
      </c>
      <c r="L579">
        <v>5</v>
      </c>
      <c r="M579">
        <v>9.5</v>
      </c>
      <c r="N579" t="s">
        <v>24</v>
      </c>
    </row>
    <row r="580" spans="1:14" x14ac:dyDescent="0.3">
      <c r="A580" t="s">
        <v>613</v>
      </c>
      <c r="B580">
        <v>23</v>
      </c>
      <c r="C580" t="s">
        <v>15</v>
      </c>
      <c r="D580" t="s">
        <v>29</v>
      </c>
      <c r="E580">
        <v>1</v>
      </c>
      <c r="F580">
        <v>6.2</v>
      </c>
      <c r="G580">
        <v>8</v>
      </c>
      <c r="H580">
        <v>65</v>
      </c>
      <c r="I580" t="s">
        <v>27</v>
      </c>
      <c r="J580" t="s">
        <v>33</v>
      </c>
      <c r="K580">
        <v>0.2</v>
      </c>
      <c r="L580">
        <v>7</v>
      </c>
      <c r="M580">
        <v>4.0999999999999996</v>
      </c>
      <c r="N580" t="s">
        <v>24</v>
      </c>
    </row>
    <row r="581" spans="1:14" x14ac:dyDescent="0.3">
      <c r="A581" t="s">
        <v>614</v>
      </c>
      <c r="B581">
        <v>27</v>
      </c>
      <c r="C581" t="s">
        <v>15</v>
      </c>
      <c r="D581" t="s">
        <v>29</v>
      </c>
      <c r="E581">
        <v>2</v>
      </c>
      <c r="F581">
        <v>7.17</v>
      </c>
      <c r="G581">
        <v>6</v>
      </c>
      <c r="H581">
        <v>82</v>
      </c>
      <c r="I581" t="s">
        <v>27</v>
      </c>
      <c r="J581" t="s">
        <v>18</v>
      </c>
      <c r="K581">
        <v>8.3000000000000007</v>
      </c>
      <c r="L581">
        <v>8</v>
      </c>
      <c r="M581">
        <v>9.5</v>
      </c>
      <c r="N581" t="s">
        <v>24</v>
      </c>
    </row>
    <row r="582" spans="1:14" x14ac:dyDescent="0.3">
      <c r="A582" t="s">
        <v>615</v>
      </c>
      <c r="B582">
        <v>24</v>
      </c>
      <c r="C582" t="s">
        <v>21</v>
      </c>
      <c r="D582" t="s">
        <v>32</v>
      </c>
      <c r="E582">
        <v>3</v>
      </c>
      <c r="F582">
        <v>9.85</v>
      </c>
      <c r="G582">
        <v>8</v>
      </c>
      <c r="H582">
        <v>51.6</v>
      </c>
      <c r="I582" t="s">
        <v>27</v>
      </c>
      <c r="J582" t="s">
        <v>54</v>
      </c>
      <c r="K582">
        <v>2.8</v>
      </c>
      <c r="L582">
        <v>8</v>
      </c>
      <c r="M582">
        <v>3.7</v>
      </c>
      <c r="N582" t="s">
        <v>24</v>
      </c>
    </row>
    <row r="583" spans="1:14" x14ac:dyDescent="0.3">
      <c r="A583" t="s">
        <v>616</v>
      </c>
      <c r="B583">
        <v>26</v>
      </c>
      <c r="C583" t="s">
        <v>21</v>
      </c>
      <c r="D583" t="s">
        <v>37</v>
      </c>
      <c r="E583">
        <v>2</v>
      </c>
      <c r="F583">
        <v>4.3</v>
      </c>
      <c r="G583">
        <v>10</v>
      </c>
      <c r="H583">
        <v>61.8</v>
      </c>
      <c r="I583" t="s">
        <v>30</v>
      </c>
      <c r="J583" t="s">
        <v>23</v>
      </c>
      <c r="K583">
        <v>7.7</v>
      </c>
      <c r="L583">
        <v>8</v>
      </c>
      <c r="M583">
        <v>4.5</v>
      </c>
      <c r="N583" t="s">
        <v>19</v>
      </c>
    </row>
    <row r="584" spans="1:14" x14ac:dyDescent="0.3">
      <c r="A584" t="s">
        <v>617</v>
      </c>
      <c r="B584">
        <v>24</v>
      </c>
      <c r="C584" t="s">
        <v>15</v>
      </c>
      <c r="D584" t="s">
        <v>22</v>
      </c>
      <c r="E584">
        <v>1</v>
      </c>
      <c r="F584">
        <v>8.42</v>
      </c>
      <c r="G584">
        <v>4</v>
      </c>
      <c r="H584">
        <v>67.099999999999994</v>
      </c>
      <c r="I584" t="s">
        <v>27</v>
      </c>
      <c r="J584" t="s">
        <v>23</v>
      </c>
      <c r="K584">
        <v>8.6</v>
      </c>
      <c r="L584">
        <v>1</v>
      </c>
      <c r="M584">
        <v>6.7</v>
      </c>
      <c r="N584" t="s">
        <v>24</v>
      </c>
    </row>
    <row r="585" spans="1:14" x14ac:dyDescent="0.3">
      <c r="A585" t="s">
        <v>618</v>
      </c>
      <c r="B585">
        <v>19</v>
      </c>
      <c r="C585" t="s">
        <v>15</v>
      </c>
      <c r="D585" t="s">
        <v>43</v>
      </c>
      <c r="E585">
        <v>3</v>
      </c>
      <c r="F585">
        <v>9.76</v>
      </c>
      <c r="G585">
        <v>10</v>
      </c>
      <c r="H585">
        <v>87.7</v>
      </c>
      <c r="I585" t="s">
        <v>27</v>
      </c>
      <c r="J585" t="s">
        <v>33</v>
      </c>
      <c r="K585">
        <v>5.3</v>
      </c>
      <c r="L585">
        <v>6</v>
      </c>
      <c r="M585">
        <v>4.2</v>
      </c>
      <c r="N585" t="s">
        <v>24</v>
      </c>
    </row>
    <row r="586" spans="1:14" x14ac:dyDescent="0.3">
      <c r="A586" t="s">
        <v>619</v>
      </c>
      <c r="B586">
        <v>20</v>
      </c>
      <c r="C586" t="s">
        <v>21</v>
      </c>
      <c r="D586" t="s">
        <v>32</v>
      </c>
      <c r="E586">
        <v>2</v>
      </c>
      <c r="F586">
        <v>8.74</v>
      </c>
      <c r="G586">
        <v>7</v>
      </c>
      <c r="H586">
        <v>63.9</v>
      </c>
      <c r="I586" t="s">
        <v>17</v>
      </c>
      <c r="J586" t="s">
        <v>35</v>
      </c>
      <c r="K586">
        <v>8.3000000000000007</v>
      </c>
      <c r="L586">
        <v>5</v>
      </c>
      <c r="M586">
        <v>8.4</v>
      </c>
      <c r="N586" t="s">
        <v>19</v>
      </c>
    </row>
    <row r="587" spans="1:14" x14ac:dyDescent="0.3">
      <c r="A587" t="s">
        <v>620</v>
      </c>
      <c r="B587">
        <v>21</v>
      </c>
      <c r="C587" t="s">
        <v>15</v>
      </c>
      <c r="D587" t="s">
        <v>37</v>
      </c>
      <c r="E587">
        <v>1</v>
      </c>
      <c r="F587">
        <v>5.31</v>
      </c>
      <c r="G587">
        <v>4</v>
      </c>
      <c r="H587">
        <v>82.6</v>
      </c>
      <c r="I587" t="s">
        <v>30</v>
      </c>
      <c r="J587" t="s">
        <v>35</v>
      </c>
      <c r="K587">
        <v>4.3</v>
      </c>
      <c r="L587">
        <v>8</v>
      </c>
      <c r="M587">
        <v>5.6</v>
      </c>
      <c r="N587" t="s">
        <v>24</v>
      </c>
    </row>
    <row r="588" spans="1:14" x14ac:dyDescent="0.3">
      <c r="A588" t="s">
        <v>621</v>
      </c>
      <c r="B588">
        <v>27</v>
      </c>
      <c r="C588" t="s">
        <v>15</v>
      </c>
      <c r="D588" t="s">
        <v>16</v>
      </c>
      <c r="E588">
        <v>2</v>
      </c>
      <c r="F588">
        <v>9.0399999999999991</v>
      </c>
      <c r="G588">
        <v>10</v>
      </c>
      <c r="H588">
        <v>96.6</v>
      </c>
      <c r="I588" t="s">
        <v>27</v>
      </c>
      <c r="J588" t="s">
        <v>18</v>
      </c>
      <c r="K588">
        <v>1.1000000000000001</v>
      </c>
      <c r="L588">
        <v>6</v>
      </c>
      <c r="M588">
        <v>8.1</v>
      </c>
      <c r="N588" t="s">
        <v>24</v>
      </c>
    </row>
    <row r="589" spans="1:14" x14ac:dyDescent="0.3">
      <c r="A589" t="s">
        <v>622</v>
      </c>
      <c r="B589">
        <v>20</v>
      </c>
      <c r="C589" t="s">
        <v>21</v>
      </c>
      <c r="D589" t="s">
        <v>37</v>
      </c>
      <c r="E589">
        <v>1</v>
      </c>
      <c r="F589">
        <v>7.37</v>
      </c>
      <c r="G589">
        <v>4</v>
      </c>
      <c r="H589">
        <v>83.1</v>
      </c>
      <c r="I589" t="s">
        <v>27</v>
      </c>
      <c r="J589" t="s">
        <v>35</v>
      </c>
      <c r="K589">
        <v>8.8000000000000007</v>
      </c>
      <c r="L589">
        <v>9</v>
      </c>
      <c r="M589">
        <v>6.8</v>
      </c>
      <c r="N589" t="s">
        <v>19</v>
      </c>
    </row>
    <row r="590" spans="1:14" x14ac:dyDescent="0.3">
      <c r="A590" t="s">
        <v>623</v>
      </c>
      <c r="B590">
        <v>24</v>
      </c>
      <c r="C590" t="s">
        <v>15</v>
      </c>
      <c r="D590" t="s">
        <v>39</v>
      </c>
      <c r="E590">
        <v>3</v>
      </c>
      <c r="F590">
        <v>5.56</v>
      </c>
      <c r="G590">
        <v>6</v>
      </c>
      <c r="H590">
        <v>64.8</v>
      </c>
      <c r="I590" t="s">
        <v>30</v>
      </c>
      <c r="J590" t="s">
        <v>18</v>
      </c>
      <c r="K590">
        <v>8.3000000000000007</v>
      </c>
      <c r="L590">
        <v>10</v>
      </c>
      <c r="M590">
        <v>5.5</v>
      </c>
      <c r="N590" t="s">
        <v>24</v>
      </c>
    </row>
    <row r="591" spans="1:14" x14ac:dyDescent="0.3">
      <c r="A591" t="s">
        <v>624</v>
      </c>
      <c r="B591">
        <v>18</v>
      </c>
      <c r="C591" t="s">
        <v>21</v>
      </c>
      <c r="D591" t="s">
        <v>39</v>
      </c>
      <c r="E591">
        <v>3</v>
      </c>
      <c r="F591">
        <v>7.7</v>
      </c>
      <c r="G591">
        <v>6</v>
      </c>
      <c r="H591">
        <v>56.8</v>
      </c>
      <c r="I591" t="s">
        <v>27</v>
      </c>
      <c r="J591" t="s">
        <v>33</v>
      </c>
      <c r="K591">
        <v>7</v>
      </c>
      <c r="L591">
        <v>3</v>
      </c>
      <c r="M591">
        <v>3.6</v>
      </c>
      <c r="N591" t="s">
        <v>19</v>
      </c>
    </row>
    <row r="592" spans="1:14" x14ac:dyDescent="0.3">
      <c r="A592" t="s">
        <v>625</v>
      </c>
      <c r="B592">
        <v>25</v>
      </c>
      <c r="C592" t="s">
        <v>15</v>
      </c>
      <c r="D592" t="s">
        <v>26</v>
      </c>
      <c r="E592">
        <v>2</v>
      </c>
      <c r="F592">
        <v>9.2799999999999994</v>
      </c>
      <c r="G592">
        <v>5</v>
      </c>
      <c r="H592">
        <v>82.5</v>
      </c>
      <c r="I592" t="s">
        <v>17</v>
      </c>
      <c r="J592" t="s">
        <v>35</v>
      </c>
      <c r="K592">
        <v>4.0999999999999996</v>
      </c>
      <c r="L592">
        <v>4</v>
      </c>
      <c r="M592">
        <v>4.5999999999999996</v>
      </c>
      <c r="N592" t="s">
        <v>19</v>
      </c>
    </row>
    <row r="593" spans="1:14" x14ac:dyDescent="0.3">
      <c r="A593" t="s">
        <v>626</v>
      </c>
      <c r="B593">
        <v>24</v>
      </c>
      <c r="C593" t="s">
        <v>21</v>
      </c>
      <c r="D593" t="s">
        <v>39</v>
      </c>
      <c r="E593">
        <v>3</v>
      </c>
      <c r="F593">
        <v>7.3</v>
      </c>
      <c r="G593">
        <v>7</v>
      </c>
      <c r="H593">
        <v>78.3</v>
      </c>
      <c r="I593" t="s">
        <v>30</v>
      </c>
      <c r="J593" t="s">
        <v>33</v>
      </c>
      <c r="K593">
        <v>4.2</v>
      </c>
      <c r="L593">
        <v>5</v>
      </c>
      <c r="M593">
        <v>3.8</v>
      </c>
      <c r="N593" t="s">
        <v>24</v>
      </c>
    </row>
    <row r="594" spans="1:14" x14ac:dyDescent="0.3">
      <c r="A594" t="s">
        <v>627</v>
      </c>
      <c r="B594">
        <v>27</v>
      </c>
      <c r="C594" t="s">
        <v>15</v>
      </c>
      <c r="D594" t="s">
        <v>29</v>
      </c>
      <c r="E594">
        <v>1</v>
      </c>
      <c r="F594">
        <v>4.67</v>
      </c>
      <c r="G594">
        <v>3</v>
      </c>
      <c r="H594">
        <v>83.6</v>
      </c>
      <c r="I594" t="s">
        <v>17</v>
      </c>
      <c r="J594" t="s">
        <v>18</v>
      </c>
      <c r="K594">
        <v>0.8</v>
      </c>
      <c r="L594">
        <v>9</v>
      </c>
      <c r="M594">
        <v>9.4</v>
      </c>
      <c r="N594" t="s">
        <v>24</v>
      </c>
    </row>
    <row r="595" spans="1:14" x14ac:dyDescent="0.3">
      <c r="A595" t="s">
        <v>628</v>
      </c>
      <c r="B595">
        <v>26</v>
      </c>
      <c r="C595" t="s">
        <v>21</v>
      </c>
      <c r="D595" t="s">
        <v>48</v>
      </c>
      <c r="E595">
        <v>1</v>
      </c>
      <c r="F595">
        <v>8.1300000000000008</v>
      </c>
      <c r="G595">
        <v>3</v>
      </c>
      <c r="H595">
        <v>58.3</v>
      </c>
      <c r="I595" t="s">
        <v>27</v>
      </c>
      <c r="J595" t="s">
        <v>35</v>
      </c>
      <c r="K595">
        <v>2.4</v>
      </c>
      <c r="L595">
        <v>5</v>
      </c>
      <c r="M595">
        <v>4</v>
      </c>
      <c r="N595" t="s">
        <v>24</v>
      </c>
    </row>
    <row r="596" spans="1:14" x14ac:dyDescent="0.3">
      <c r="A596" t="s">
        <v>629</v>
      </c>
      <c r="B596">
        <v>18</v>
      </c>
      <c r="C596" t="s">
        <v>15</v>
      </c>
      <c r="D596" t="s">
        <v>48</v>
      </c>
      <c r="E596">
        <v>2</v>
      </c>
      <c r="F596">
        <v>8.99</v>
      </c>
      <c r="G596">
        <v>10</v>
      </c>
      <c r="H596">
        <v>61.8</v>
      </c>
      <c r="I596" t="s">
        <v>17</v>
      </c>
      <c r="J596" t="s">
        <v>54</v>
      </c>
      <c r="K596">
        <v>7.8</v>
      </c>
      <c r="L596">
        <v>3</v>
      </c>
      <c r="M596">
        <v>7.6</v>
      </c>
      <c r="N596" t="s">
        <v>19</v>
      </c>
    </row>
    <row r="597" spans="1:14" x14ac:dyDescent="0.3">
      <c r="A597" t="s">
        <v>630</v>
      </c>
      <c r="B597">
        <v>22</v>
      </c>
      <c r="C597" t="s">
        <v>21</v>
      </c>
      <c r="D597" t="s">
        <v>16</v>
      </c>
      <c r="E597">
        <v>2</v>
      </c>
      <c r="F597">
        <v>7.43</v>
      </c>
      <c r="G597">
        <v>8</v>
      </c>
      <c r="H597">
        <v>87.5</v>
      </c>
      <c r="I597" t="s">
        <v>30</v>
      </c>
      <c r="J597" t="s">
        <v>33</v>
      </c>
      <c r="K597">
        <v>3.2</v>
      </c>
      <c r="L597">
        <v>5</v>
      </c>
      <c r="M597">
        <v>7.1</v>
      </c>
      <c r="N597" t="s">
        <v>19</v>
      </c>
    </row>
    <row r="598" spans="1:14" x14ac:dyDescent="0.3">
      <c r="A598" t="s">
        <v>631</v>
      </c>
      <c r="B598">
        <v>17</v>
      </c>
      <c r="C598" t="s">
        <v>15</v>
      </c>
      <c r="D598" t="s">
        <v>32</v>
      </c>
      <c r="E598">
        <v>2</v>
      </c>
      <c r="F598">
        <v>5.27</v>
      </c>
      <c r="G598">
        <v>10</v>
      </c>
      <c r="H598">
        <v>95.4</v>
      </c>
      <c r="I598" t="s">
        <v>27</v>
      </c>
      <c r="J598" t="s">
        <v>18</v>
      </c>
      <c r="K598">
        <v>5.8</v>
      </c>
      <c r="L598">
        <v>8</v>
      </c>
      <c r="M598">
        <v>9</v>
      </c>
      <c r="N598" t="s">
        <v>19</v>
      </c>
    </row>
    <row r="599" spans="1:14" x14ac:dyDescent="0.3">
      <c r="A599" t="s">
        <v>632</v>
      </c>
      <c r="B599">
        <v>17</v>
      </c>
      <c r="C599" t="s">
        <v>21</v>
      </c>
      <c r="D599" t="s">
        <v>16</v>
      </c>
      <c r="E599">
        <v>2</v>
      </c>
      <c r="F599">
        <v>7.01</v>
      </c>
      <c r="G599">
        <v>2</v>
      </c>
      <c r="H599">
        <v>50.1</v>
      </c>
      <c r="I599" t="s">
        <v>30</v>
      </c>
      <c r="J599" t="s">
        <v>33</v>
      </c>
      <c r="K599">
        <v>6.3</v>
      </c>
      <c r="L599">
        <v>2</v>
      </c>
      <c r="M599">
        <v>5.0999999999999996</v>
      </c>
      <c r="N599" t="s">
        <v>24</v>
      </c>
    </row>
    <row r="600" spans="1:14" x14ac:dyDescent="0.3">
      <c r="A600" t="s">
        <v>633</v>
      </c>
      <c r="B600">
        <v>20</v>
      </c>
      <c r="C600" t="s">
        <v>15</v>
      </c>
      <c r="D600" t="s">
        <v>32</v>
      </c>
      <c r="E600">
        <v>1</v>
      </c>
      <c r="F600">
        <v>9.8699999999999992</v>
      </c>
      <c r="G600">
        <v>3</v>
      </c>
      <c r="H600">
        <v>51.2</v>
      </c>
      <c r="I600" t="s">
        <v>30</v>
      </c>
      <c r="J600" t="s">
        <v>35</v>
      </c>
      <c r="K600">
        <v>8.3000000000000007</v>
      </c>
      <c r="L600">
        <v>8</v>
      </c>
      <c r="M600">
        <v>8.3000000000000007</v>
      </c>
      <c r="N600" t="s">
        <v>24</v>
      </c>
    </row>
    <row r="601" spans="1:14" x14ac:dyDescent="0.3">
      <c r="A601" t="s">
        <v>634</v>
      </c>
      <c r="B601">
        <v>19</v>
      </c>
      <c r="C601" t="s">
        <v>15</v>
      </c>
      <c r="D601" t="s">
        <v>16</v>
      </c>
      <c r="E601">
        <v>3</v>
      </c>
      <c r="F601">
        <v>9.09</v>
      </c>
      <c r="G601">
        <v>10</v>
      </c>
      <c r="H601">
        <v>67.3</v>
      </c>
      <c r="I601" t="s">
        <v>27</v>
      </c>
      <c r="J601" t="s">
        <v>33</v>
      </c>
      <c r="K601">
        <v>6</v>
      </c>
      <c r="L601">
        <v>6</v>
      </c>
      <c r="M601">
        <v>4.0999999999999996</v>
      </c>
      <c r="N601" t="s">
        <v>24</v>
      </c>
    </row>
    <row r="602" spans="1:14" x14ac:dyDescent="0.3">
      <c r="A602" t="s">
        <v>635</v>
      </c>
      <c r="B602">
        <v>18</v>
      </c>
      <c r="C602" t="s">
        <v>21</v>
      </c>
      <c r="D602" t="s">
        <v>29</v>
      </c>
      <c r="E602">
        <v>1</v>
      </c>
      <c r="F602">
        <v>8.39</v>
      </c>
      <c r="G602">
        <v>10</v>
      </c>
      <c r="H602">
        <v>88.7</v>
      </c>
      <c r="I602" t="s">
        <v>30</v>
      </c>
      <c r="J602" t="s">
        <v>35</v>
      </c>
      <c r="K602">
        <v>8</v>
      </c>
      <c r="L602">
        <v>6</v>
      </c>
      <c r="M602">
        <v>8</v>
      </c>
      <c r="N602" t="s">
        <v>24</v>
      </c>
    </row>
    <row r="603" spans="1:14" x14ac:dyDescent="0.3">
      <c r="A603" t="s">
        <v>636</v>
      </c>
      <c r="B603">
        <v>27</v>
      </c>
      <c r="C603" t="s">
        <v>21</v>
      </c>
      <c r="D603" t="s">
        <v>29</v>
      </c>
      <c r="E603">
        <v>1</v>
      </c>
      <c r="F603">
        <v>9.77</v>
      </c>
      <c r="G603">
        <v>2</v>
      </c>
      <c r="H603">
        <v>52.4</v>
      </c>
      <c r="I603" t="s">
        <v>17</v>
      </c>
      <c r="J603" t="s">
        <v>18</v>
      </c>
      <c r="K603">
        <v>6.5</v>
      </c>
      <c r="L603">
        <v>7</v>
      </c>
      <c r="M603">
        <v>7.5</v>
      </c>
      <c r="N603" t="s">
        <v>19</v>
      </c>
    </row>
    <row r="604" spans="1:14" x14ac:dyDescent="0.3">
      <c r="A604" t="s">
        <v>637</v>
      </c>
      <c r="B604">
        <v>18</v>
      </c>
      <c r="C604" t="s">
        <v>15</v>
      </c>
      <c r="D604" t="s">
        <v>26</v>
      </c>
      <c r="E604">
        <v>2</v>
      </c>
      <c r="F604">
        <v>6.14</v>
      </c>
      <c r="G604">
        <v>5</v>
      </c>
      <c r="H604">
        <v>68.8</v>
      </c>
      <c r="I604" t="s">
        <v>30</v>
      </c>
      <c r="J604" t="s">
        <v>23</v>
      </c>
      <c r="K604">
        <v>7.3</v>
      </c>
      <c r="L604">
        <v>1</v>
      </c>
      <c r="M604">
        <v>9.8000000000000007</v>
      </c>
      <c r="N604" t="s">
        <v>19</v>
      </c>
    </row>
    <row r="605" spans="1:14" x14ac:dyDescent="0.3">
      <c r="A605" t="s">
        <v>638</v>
      </c>
      <c r="B605">
        <v>21</v>
      </c>
      <c r="C605" t="s">
        <v>21</v>
      </c>
      <c r="D605" t="s">
        <v>48</v>
      </c>
      <c r="E605">
        <v>3</v>
      </c>
      <c r="F605">
        <v>8.4</v>
      </c>
      <c r="G605">
        <v>5</v>
      </c>
      <c r="H605">
        <v>78.7</v>
      </c>
      <c r="I605" t="s">
        <v>30</v>
      </c>
      <c r="J605" t="s">
        <v>35</v>
      </c>
      <c r="K605">
        <v>6.7</v>
      </c>
      <c r="L605">
        <v>7</v>
      </c>
      <c r="M605">
        <v>6.5</v>
      </c>
      <c r="N605" t="s">
        <v>19</v>
      </c>
    </row>
    <row r="606" spans="1:14" x14ac:dyDescent="0.3">
      <c r="A606" t="s">
        <v>639</v>
      </c>
      <c r="B606">
        <v>20</v>
      </c>
      <c r="C606" t="s">
        <v>15</v>
      </c>
      <c r="D606" t="s">
        <v>43</v>
      </c>
      <c r="E606">
        <v>1</v>
      </c>
      <c r="F606">
        <v>9.2200000000000006</v>
      </c>
      <c r="G606">
        <v>6</v>
      </c>
      <c r="H606">
        <v>55.9</v>
      </c>
      <c r="I606" t="s">
        <v>27</v>
      </c>
      <c r="J606" t="s">
        <v>54</v>
      </c>
      <c r="K606">
        <v>2.8</v>
      </c>
      <c r="L606">
        <v>1</v>
      </c>
      <c r="M606">
        <v>6.3</v>
      </c>
      <c r="N606" t="s">
        <v>24</v>
      </c>
    </row>
    <row r="607" spans="1:14" x14ac:dyDescent="0.3">
      <c r="A607" t="s">
        <v>640</v>
      </c>
      <c r="B607">
        <v>23</v>
      </c>
      <c r="C607" t="s">
        <v>15</v>
      </c>
      <c r="D607" t="s">
        <v>16</v>
      </c>
      <c r="E607">
        <v>3</v>
      </c>
      <c r="F607">
        <v>4.3099999999999996</v>
      </c>
      <c r="G607">
        <v>5</v>
      </c>
      <c r="H607">
        <v>78.099999999999994</v>
      </c>
      <c r="I607" t="s">
        <v>27</v>
      </c>
      <c r="J607" t="s">
        <v>23</v>
      </c>
      <c r="K607">
        <v>6.6</v>
      </c>
      <c r="L607">
        <v>3</v>
      </c>
      <c r="M607">
        <v>8.6</v>
      </c>
      <c r="N607" t="s">
        <v>24</v>
      </c>
    </row>
    <row r="608" spans="1:14" x14ac:dyDescent="0.3">
      <c r="A608" t="s">
        <v>641</v>
      </c>
      <c r="B608">
        <v>24</v>
      </c>
      <c r="C608" t="s">
        <v>15</v>
      </c>
      <c r="D608" t="s">
        <v>39</v>
      </c>
      <c r="E608">
        <v>2</v>
      </c>
      <c r="F608">
        <v>4.93</v>
      </c>
      <c r="G608">
        <v>10</v>
      </c>
      <c r="H608">
        <v>94.5</v>
      </c>
      <c r="I608" t="s">
        <v>30</v>
      </c>
      <c r="J608" t="s">
        <v>35</v>
      </c>
      <c r="K608">
        <v>1.5</v>
      </c>
      <c r="L608">
        <v>6</v>
      </c>
      <c r="M608">
        <v>5.0999999999999996</v>
      </c>
      <c r="N608" t="s">
        <v>24</v>
      </c>
    </row>
    <row r="609" spans="1:14" x14ac:dyDescent="0.3">
      <c r="A609" t="s">
        <v>642</v>
      </c>
      <c r="B609">
        <v>21</v>
      </c>
      <c r="C609" t="s">
        <v>21</v>
      </c>
      <c r="D609" t="s">
        <v>43</v>
      </c>
      <c r="E609">
        <v>2</v>
      </c>
      <c r="F609">
        <v>7.19</v>
      </c>
      <c r="G609">
        <v>5</v>
      </c>
      <c r="H609">
        <v>89.7</v>
      </c>
      <c r="I609" t="s">
        <v>30</v>
      </c>
      <c r="J609" t="s">
        <v>35</v>
      </c>
      <c r="K609">
        <v>3.5</v>
      </c>
      <c r="L609">
        <v>10</v>
      </c>
      <c r="M609">
        <v>8.1</v>
      </c>
      <c r="N609" t="s">
        <v>19</v>
      </c>
    </row>
    <row r="610" spans="1:14" x14ac:dyDescent="0.3">
      <c r="A610" t="s">
        <v>643</v>
      </c>
      <c r="B610">
        <v>21</v>
      </c>
      <c r="C610" t="s">
        <v>15</v>
      </c>
      <c r="D610" t="s">
        <v>43</v>
      </c>
      <c r="E610">
        <v>2</v>
      </c>
      <c r="F610">
        <v>5.1100000000000003</v>
      </c>
      <c r="G610">
        <v>3</v>
      </c>
      <c r="H610">
        <v>88.3</v>
      </c>
      <c r="I610" t="s">
        <v>30</v>
      </c>
      <c r="J610" t="s">
        <v>23</v>
      </c>
      <c r="K610">
        <v>2.5</v>
      </c>
      <c r="L610">
        <v>9</v>
      </c>
      <c r="M610">
        <v>4.2</v>
      </c>
      <c r="N610" t="s">
        <v>19</v>
      </c>
    </row>
    <row r="611" spans="1:14" x14ac:dyDescent="0.3">
      <c r="A611" t="s">
        <v>644</v>
      </c>
      <c r="B611">
        <v>19</v>
      </c>
      <c r="C611" t="s">
        <v>15</v>
      </c>
      <c r="D611" t="s">
        <v>37</v>
      </c>
      <c r="E611">
        <v>3</v>
      </c>
      <c r="F611">
        <v>8.76</v>
      </c>
      <c r="G611">
        <v>6</v>
      </c>
      <c r="H611">
        <v>63.6</v>
      </c>
      <c r="I611" t="s">
        <v>17</v>
      </c>
      <c r="J611" t="s">
        <v>18</v>
      </c>
      <c r="K611">
        <v>7.7</v>
      </c>
      <c r="L611">
        <v>7</v>
      </c>
      <c r="M611">
        <v>5.5</v>
      </c>
      <c r="N611" t="s">
        <v>24</v>
      </c>
    </row>
    <row r="612" spans="1:14" x14ac:dyDescent="0.3">
      <c r="A612" t="s">
        <v>645</v>
      </c>
      <c r="B612">
        <v>24</v>
      </c>
      <c r="C612" t="s">
        <v>21</v>
      </c>
      <c r="D612" t="s">
        <v>32</v>
      </c>
      <c r="E612">
        <v>1</v>
      </c>
      <c r="F612">
        <v>8.1</v>
      </c>
      <c r="G612">
        <v>7</v>
      </c>
      <c r="H612">
        <v>56.7</v>
      </c>
      <c r="I612" t="s">
        <v>17</v>
      </c>
      <c r="J612" t="s">
        <v>35</v>
      </c>
      <c r="K612">
        <v>0.4</v>
      </c>
      <c r="L612">
        <v>4</v>
      </c>
      <c r="M612">
        <v>7.6</v>
      </c>
      <c r="N612" t="s">
        <v>19</v>
      </c>
    </row>
    <row r="613" spans="1:14" x14ac:dyDescent="0.3">
      <c r="A613" t="s">
        <v>646</v>
      </c>
      <c r="B613">
        <v>24</v>
      </c>
      <c r="C613" t="s">
        <v>21</v>
      </c>
      <c r="D613" t="s">
        <v>32</v>
      </c>
      <c r="E613">
        <v>4</v>
      </c>
      <c r="F613">
        <v>4.82</v>
      </c>
      <c r="G613">
        <v>2</v>
      </c>
      <c r="H613">
        <v>55.2</v>
      </c>
      <c r="I613" t="s">
        <v>30</v>
      </c>
      <c r="J613" t="s">
        <v>18</v>
      </c>
      <c r="K613">
        <v>1</v>
      </c>
      <c r="L613">
        <v>8</v>
      </c>
      <c r="M613">
        <v>6.4</v>
      </c>
      <c r="N613" t="s">
        <v>19</v>
      </c>
    </row>
    <row r="614" spans="1:14" x14ac:dyDescent="0.3">
      <c r="A614" t="s">
        <v>647</v>
      </c>
      <c r="B614">
        <v>17</v>
      </c>
      <c r="C614" t="s">
        <v>15</v>
      </c>
      <c r="D614" t="s">
        <v>22</v>
      </c>
      <c r="E614">
        <v>1</v>
      </c>
      <c r="F614">
        <v>5.22</v>
      </c>
      <c r="G614">
        <v>9</v>
      </c>
      <c r="H614">
        <v>58.5</v>
      </c>
      <c r="I614" t="s">
        <v>27</v>
      </c>
      <c r="J614" t="s">
        <v>54</v>
      </c>
      <c r="K614">
        <v>7.2</v>
      </c>
      <c r="L614">
        <v>3</v>
      </c>
      <c r="M614">
        <v>5.9</v>
      </c>
      <c r="N614" t="s">
        <v>19</v>
      </c>
    </row>
    <row r="615" spans="1:14" x14ac:dyDescent="0.3">
      <c r="A615" t="s">
        <v>648</v>
      </c>
      <c r="B615">
        <v>19</v>
      </c>
      <c r="C615" t="s">
        <v>21</v>
      </c>
      <c r="D615" t="s">
        <v>29</v>
      </c>
      <c r="E615">
        <v>1</v>
      </c>
      <c r="F615">
        <v>4.57</v>
      </c>
      <c r="G615">
        <v>7</v>
      </c>
      <c r="H615">
        <v>53.6</v>
      </c>
      <c r="I615" t="s">
        <v>30</v>
      </c>
      <c r="J615" t="s">
        <v>33</v>
      </c>
      <c r="K615">
        <v>4.0999999999999996</v>
      </c>
      <c r="L615">
        <v>9</v>
      </c>
      <c r="M615">
        <v>8.1999999999999993</v>
      </c>
      <c r="N615" t="s">
        <v>24</v>
      </c>
    </row>
    <row r="616" spans="1:14" x14ac:dyDescent="0.3">
      <c r="A616" t="s">
        <v>649</v>
      </c>
      <c r="B616">
        <v>17</v>
      </c>
      <c r="C616" t="s">
        <v>15</v>
      </c>
      <c r="D616" t="s">
        <v>39</v>
      </c>
      <c r="E616">
        <v>3</v>
      </c>
      <c r="F616">
        <v>4.2</v>
      </c>
      <c r="G616">
        <v>6</v>
      </c>
      <c r="H616">
        <v>72.900000000000006</v>
      </c>
      <c r="I616" t="s">
        <v>27</v>
      </c>
      <c r="J616" t="s">
        <v>35</v>
      </c>
      <c r="K616">
        <v>5.4</v>
      </c>
      <c r="L616">
        <v>8</v>
      </c>
      <c r="M616">
        <v>5.7</v>
      </c>
      <c r="N616" t="s">
        <v>24</v>
      </c>
    </row>
    <row r="617" spans="1:14" x14ac:dyDescent="0.3">
      <c r="A617" t="s">
        <v>650</v>
      </c>
      <c r="B617">
        <v>26</v>
      </c>
      <c r="C617" t="s">
        <v>21</v>
      </c>
      <c r="D617" t="s">
        <v>22</v>
      </c>
      <c r="E617">
        <v>1</v>
      </c>
      <c r="F617">
        <v>8.34</v>
      </c>
      <c r="G617">
        <v>8</v>
      </c>
      <c r="H617">
        <v>65.400000000000006</v>
      </c>
      <c r="I617" t="s">
        <v>30</v>
      </c>
      <c r="J617" t="s">
        <v>23</v>
      </c>
      <c r="K617">
        <v>0.4</v>
      </c>
      <c r="L617">
        <v>8</v>
      </c>
      <c r="M617">
        <v>8.9</v>
      </c>
      <c r="N617" t="s">
        <v>24</v>
      </c>
    </row>
    <row r="618" spans="1:14" x14ac:dyDescent="0.3">
      <c r="A618" t="s">
        <v>651</v>
      </c>
      <c r="B618">
        <v>24</v>
      </c>
      <c r="C618" t="s">
        <v>21</v>
      </c>
      <c r="D618" t="s">
        <v>26</v>
      </c>
      <c r="E618">
        <v>1</v>
      </c>
      <c r="F618">
        <v>4.74</v>
      </c>
      <c r="G618">
        <v>4</v>
      </c>
      <c r="H618">
        <v>83.7</v>
      </c>
      <c r="I618" t="s">
        <v>27</v>
      </c>
      <c r="J618" t="s">
        <v>23</v>
      </c>
      <c r="K618">
        <v>6.7</v>
      </c>
      <c r="L618">
        <v>4</v>
      </c>
      <c r="M618">
        <v>6.5</v>
      </c>
      <c r="N618" t="s">
        <v>19</v>
      </c>
    </row>
    <row r="619" spans="1:14" x14ac:dyDescent="0.3">
      <c r="A619" t="s">
        <v>652</v>
      </c>
      <c r="B619">
        <v>22</v>
      </c>
      <c r="C619" t="s">
        <v>21</v>
      </c>
      <c r="D619" t="s">
        <v>39</v>
      </c>
      <c r="E619">
        <v>1</v>
      </c>
      <c r="F619">
        <v>6.22</v>
      </c>
      <c r="G619">
        <v>5</v>
      </c>
      <c r="H619">
        <v>83.9</v>
      </c>
      <c r="I619" t="s">
        <v>17</v>
      </c>
      <c r="J619" t="s">
        <v>54</v>
      </c>
      <c r="K619">
        <v>0.2</v>
      </c>
      <c r="L619">
        <v>9</v>
      </c>
      <c r="M619">
        <v>9.4</v>
      </c>
      <c r="N619" t="s">
        <v>19</v>
      </c>
    </row>
    <row r="620" spans="1:14" x14ac:dyDescent="0.3">
      <c r="A620" t="s">
        <v>653</v>
      </c>
      <c r="B620">
        <v>25</v>
      </c>
      <c r="C620" t="s">
        <v>21</v>
      </c>
      <c r="D620" t="s">
        <v>37</v>
      </c>
      <c r="E620">
        <v>3</v>
      </c>
      <c r="F620">
        <v>8.0299999999999994</v>
      </c>
      <c r="G620">
        <v>7</v>
      </c>
      <c r="H620">
        <v>85.5</v>
      </c>
      <c r="I620" t="s">
        <v>17</v>
      </c>
      <c r="J620" t="s">
        <v>23</v>
      </c>
      <c r="K620">
        <v>2.7</v>
      </c>
      <c r="L620">
        <v>7</v>
      </c>
      <c r="M620">
        <v>5.0999999999999996</v>
      </c>
      <c r="N620" t="s">
        <v>19</v>
      </c>
    </row>
    <row r="621" spans="1:14" x14ac:dyDescent="0.3">
      <c r="A621" t="s">
        <v>654</v>
      </c>
      <c r="B621">
        <v>22</v>
      </c>
      <c r="C621" t="s">
        <v>15</v>
      </c>
      <c r="D621" t="s">
        <v>22</v>
      </c>
      <c r="E621">
        <v>2</v>
      </c>
      <c r="F621">
        <v>7.58</v>
      </c>
      <c r="G621">
        <v>7</v>
      </c>
      <c r="H621">
        <v>70.3</v>
      </c>
      <c r="I621" t="s">
        <v>27</v>
      </c>
      <c r="J621" t="s">
        <v>18</v>
      </c>
      <c r="K621">
        <v>6.7</v>
      </c>
      <c r="L621">
        <v>9</v>
      </c>
      <c r="M621">
        <v>6.2</v>
      </c>
      <c r="N621" t="s">
        <v>19</v>
      </c>
    </row>
    <row r="622" spans="1:14" x14ac:dyDescent="0.3">
      <c r="A622" t="s">
        <v>655</v>
      </c>
      <c r="B622">
        <v>18</v>
      </c>
      <c r="C622" t="s">
        <v>21</v>
      </c>
      <c r="D622" t="s">
        <v>26</v>
      </c>
      <c r="E622">
        <v>2</v>
      </c>
      <c r="F622">
        <v>5.84</v>
      </c>
      <c r="G622">
        <v>6</v>
      </c>
      <c r="H622">
        <v>88.9</v>
      </c>
      <c r="I622" t="s">
        <v>27</v>
      </c>
      <c r="J622" t="s">
        <v>54</v>
      </c>
      <c r="K622">
        <v>4.4000000000000004</v>
      </c>
      <c r="L622">
        <v>1</v>
      </c>
      <c r="M622">
        <v>8.9</v>
      </c>
      <c r="N622" t="s">
        <v>24</v>
      </c>
    </row>
    <row r="623" spans="1:14" x14ac:dyDescent="0.3">
      <c r="A623" t="s">
        <v>656</v>
      </c>
      <c r="B623">
        <v>22</v>
      </c>
      <c r="C623" t="s">
        <v>15</v>
      </c>
      <c r="D623" t="s">
        <v>22</v>
      </c>
      <c r="E623">
        <v>2</v>
      </c>
      <c r="F623">
        <v>7.99</v>
      </c>
      <c r="G623">
        <v>10</v>
      </c>
      <c r="H623">
        <v>72.5</v>
      </c>
      <c r="I623" t="s">
        <v>27</v>
      </c>
      <c r="J623" t="s">
        <v>35</v>
      </c>
      <c r="K623">
        <v>8.5</v>
      </c>
      <c r="L623">
        <v>5</v>
      </c>
      <c r="M623">
        <v>8.8000000000000007</v>
      </c>
      <c r="N623" t="s">
        <v>19</v>
      </c>
    </row>
    <row r="624" spans="1:14" x14ac:dyDescent="0.3">
      <c r="A624" t="s">
        <v>657</v>
      </c>
      <c r="B624">
        <v>26</v>
      </c>
      <c r="C624" t="s">
        <v>21</v>
      </c>
      <c r="D624" t="s">
        <v>16</v>
      </c>
      <c r="E624">
        <v>3</v>
      </c>
      <c r="F624">
        <v>7.99</v>
      </c>
      <c r="G624">
        <v>5</v>
      </c>
      <c r="H624">
        <v>78.900000000000006</v>
      </c>
      <c r="I624" t="s">
        <v>30</v>
      </c>
      <c r="J624" t="s">
        <v>54</v>
      </c>
      <c r="K624">
        <v>1</v>
      </c>
      <c r="L624">
        <v>3</v>
      </c>
      <c r="M624">
        <v>4.4000000000000004</v>
      </c>
      <c r="N624" t="s">
        <v>19</v>
      </c>
    </row>
    <row r="625" spans="1:14" x14ac:dyDescent="0.3">
      <c r="A625" t="s">
        <v>658</v>
      </c>
      <c r="B625">
        <v>21</v>
      </c>
      <c r="C625" t="s">
        <v>21</v>
      </c>
      <c r="D625" t="s">
        <v>29</v>
      </c>
      <c r="E625">
        <v>1</v>
      </c>
      <c r="F625">
        <v>5.43</v>
      </c>
      <c r="G625">
        <v>2</v>
      </c>
      <c r="H625">
        <v>75</v>
      </c>
      <c r="I625" t="s">
        <v>17</v>
      </c>
      <c r="J625" t="s">
        <v>23</v>
      </c>
      <c r="K625">
        <v>6.3</v>
      </c>
      <c r="L625">
        <v>4</v>
      </c>
      <c r="M625">
        <v>6.5</v>
      </c>
      <c r="N625" t="s">
        <v>24</v>
      </c>
    </row>
    <row r="626" spans="1:14" x14ac:dyDescent="0.3">
      <c r="A626" t="s">
        <v>659</v>
      </c>
      <c r="B626">
        <v>26</v>
      </c>
      <c r="C626" t="s">
        <v>15</v>
      </c>
      <c r="D626" t="s">
        <v>26</v>
      </c>
      <c r="E626">
        <v>1</v>
      </c>
      <c r="F626">
        <v>6.86</v>
      </c>
      <c r="G626">
        <v>5</v>
      </c>
      <c r="H626">
        <v>72.7</v>
      </c>
      <c r="I626" t="s">
        <v>17</v>
      </c>
      <c r="J626" t="s">
        <v>23</v>
      </c>
      <c r="K626">
        <v>5.9</v>
      </c>
      <c r="L626">
        <v>1</v>
      </c>
      <c r="M626">
        <v>8.9</v>
      </c>
      <c r="N626" t="s">
        <v>24</v>
      </c>
    </row>
    <row r="627" spans="1:14" x14ac:dyDescent="0.3">
      <c r="A627" t="s">
        <v>660</v>
      </c>
      <c r="B627">
        <v>21</v>
      </c>
      <c r="C627" t="s">
        <v>21</v>
      </c>
      <c r="D627" t="s">
        <v>37</v>
      </c>
      <c r="E627">
        <v>1</v>
      </c>
      <c r="F627">
        <v>9.6</v>
      </c>
      <c r="G627">
        <v>3</v>
      </c>
      <c r="H627">
        <v>53.5</v>
      </c>
      <c r="I627" t="s">
        <v>30</v>
      </c>
      <c r="J627" t="s">
        <v>54</v>
      </c>
      <c r="K627">
        <v>1.9</v>
      </c>
      <c r="L627">
        <v>4</v>
      </c>
      <c r="M627">
        <v>8.6</v>
      </c>
      <c r="N627" t="s">
        <v>19</v>
      </c>
    </row>
    <row r="628" spans="1:14" x14ac:dyDescent="0.3">
      <c r="A628" t="s">
        <v>661</v>
      </c>
      <c r="B628">
        <v>23</v>
      </c>
      <c r="C628" t="s">
        <v>21</v>
      </c>
      <c r="D628" t="s">
        <v>39</v>
      </c>
      <c r="E628">
        <v>3</v>
      </c>
      <c r="F628">
        <v>7.3</v>
      </c>
      <c r="G628">
        <v>7</v>
      </c>
      <c r="H628">
        <v>96.4</v>
      </c>
      <c r="I628" t="s">
        <v>27</v>
      </c>
      <c r="J628" t="s">
        <v>23</v>
      </c>
      <c r="K628">
        <v>5.5</v>
      </c>
      <c r="L628">
        <v>6</v>
      </c>
      <c r="M628">
        <v>6.2</v>
      </c>
      <c r="N628" t="s">
        <v>24</v>
      </c>
    </row>
    <row r="629" spans="1:14" x14ac:dyDescent="0.3">
      <c r="A629" t="s">
        <v>662</v>
      </c>
      <c r="B629">
        <v>20</v>
      </c>
      <c r="C629" t="s">
        <v>21</v>
      </c>
      <c r="D629" t="s">
        <v>39</v>
      </c>
      <c r="E629">
        <v>1</v>
      </c>
      <c r="F629">
        <v>8.07</v>
      </c>
      <c r="G629">
        <v>3</v>
      </c>
      <c r="H629">
        <v>57.7</v>
      </c>
      <c r="I629" t="s">
        <v>17</v>
      </c>
      <c r="J629" t="s">
        <v>23</v>
      </c>
      <c r="K629">
        <v>8.5</v>
      </c>
      <c r="L629">
        <v>10</v>
      </c>
      <c r="M629">
        <v>4.7</v>
      </c>
      <c r="N629" t="s">
        <v>19</v>
      </c>
    </row>
    <row r="630" spans="1:14" x14ac:dyDescent="0.3">
      <c r="A630" t="s">
        <v>663</v>
      </c>
      <c r="B630">
        <v>25</v>
      </c>
      <c r="C630" t="s">
        <v>21</v>
      </c>
      <c r="D630" t="s">
        <v>26</v>
      </c>
      <c r="E630">
        <v>2</v>
      </c>
      <c r="F630">
        <v>7.52</v>
      </c>
      <c r="G630">
        <v>10</v>
      </c>
      <c r="H630">
        <v>65.900000000000006</v>
      </c>
      <c r="I630" t="s">
        <v>30</v>
      </c>
      <c r="J630" t="s">
        <v>23</v>
      </c>
      <c r="K630">
        <v>0.9</v>
      </c>
      <c r="L630">
        <v>4</v>
      </c>
      <c r="M630">
        <v>5.6</v>
      </c>
      <c r="N630" t="s">
        <v>24</v>
      </c>
    </row>
    <row r="631" spans="1:14" x14ac:dyDescent="0.3">
      <c r="A631" t="s">
        <v>664</v>
      </c>
      <c r="B631">
        <v>27</v>
      </c>
      <c r="C631" t="s">
        <v>15</v>
      </c>
      <c r="D631" t="s">
        <v>48</v>
      </c>
      <c r="E631">
        <v>3</v>
      </c>
      <c r="F631">
        <v>6.85</v>
      </c>
      <c r="G631">
        <v>2</v>
      </c>
      <c r="H631">
        <v>90.7</v>
      </c>
      <c r="I631" t="s">
        <v>17</v>
      </c>
      <c r="J631" t="s">
        <v>33</v>
      </c>
      <c r="K631">
        <v>7.4</v>
      </c>
      <c r="L631">
        <v>2</v>
      </c>
      <c r="M631">
        <v>5.7</v>
      </c>
      <c r="N631" t="s">
        <v>19</v>
      </c>
    </row>
    <row r="632" spans="1:14" x14ac:dyDescent="0.3">
      <c r="A632" t="s">
        <v>665</v>
      </c>
      <c r="B632">
        <v>23</v>
      </c>
      <c r="C632" t="s">
        <v>21</v>
      </c>
      <c r="D632" t="s">
        <v>16</v>
      </c>
      <c r="E632">
        <v>1</v>
      </c>
      <c r="F632">
        <v>9.07</v>
      </c>
      <c r="G632">
        <v>2</v>
      </c>
      <c r="H632">
        <v>59.1</v>
      </c>
      <c r="I632" t="s">
        <v>27</v>
      </c>
      <c r="J632" t="s">
        <v>23</v>
      </c>
      <c r="K632">
        <v>1.1000000000000001</v>
      </c>
      <c r="L632">
        <v>2</v>
      </c>
      <c r="M632">
        <v>3.9</v>
      </c>
      <c r="N632" t="s">
        <v>24</v>
      </c>
    </row>
    <row r="633" spans="1:14" x14ac:dyDescent="0.3">
      <c r="A633" t="s">
        <v>666</v>
      </c>
      <c r="B633">
        <v>21</v>
      </c>
      <c r="C633" t="s">
        <v>21</v>
      </c>
      <c r="D633" t="s">
        <v>39</v>
      </c>
      <c r="E633">
        <v>2</v>
      </c>
      <c r="F633">
        <v>9.92</v>
      </c>
      <c r="G633">
        <v>3</v>
      </c>
      <c r="H633">
        <v>93.4</v>
      </c>
      <c r="I633" t="s">
        <v>17</v>
      </c>
      <c r="J633" t="s">
        <v>18</v>
      </c>
      <c r="K633">
        <v>6</v>
      </c>
      <c r="L633">
        <v>1</v>
      </c>
      <c r="M633">
        <v>4.9000000000000004</v>
      </c>
      <c r="N633" t="s">
        <v>19</v>
      </c>
    </row>
    <row r="634" spans="1:14" x14ac:dyDescent="0.3">
      <c r="A634" t="s">
        <v>667</v>
      </c>
      <c r="B634">
        <v>24</v>
      </c>
      <c r="C634" t="s">
        <v>21</v>
      </c>
      <c r="D634" t="s">
        <v>32</v>
      </c>
      <c r="E634">
        <v>3</v>
      </c>
      <c r="F634">
        <v>6.73</v>
      </c>
      <c r="G634">
        <v>2</v>
      </c>
      <c r="H634">
        <v>74.5</v>
      </c>
      <c r="I634" t="s">
        <v>30</v>
      </c>
      <c r="J634" t="s">
        <v>23</v>
      </c>
      <c r="K634">
        <v>2.2999999999999998</v>
      </c>
      <c r="L634">
        <v>4</v>
      </c>
      <c r="M634">
        <v>4.5</v>
      </c>
      <c r="N634" t="s">
        <v>19</v>
      </c>
    </row>
    <row r="635" spans="1:14" x14ac:dyDescent="0.3">
      <c r="A635" t="s">
        <v>668</v>
      </c>
      <c r="B635">
        <v>21</v>
      </c>
      <c r="C635" t="s">
        <v>21</v>
      </c>
      <c r="D635" t="s">
        <v>37</v>
      </c>
      <c r="E635">
        <v>3</v>
      </c>
      <c r="F635">
        <v>6.36</v>
      </c>
      <c r="G635">
        <v>6</v>
      </c>
      <c r="H635">
        <v>62.8</v>
      </c>
      <c r="I635" t="s">
        <v>30</v>
      </c>
      <c r="J635" t="s">
        <v>18</v>
      </c>
      <c r="K635">
        <v>4</v>
      </c>
      <c r="L635">
        <v>8</v>
      </c>
      <c r="M635">
        <v>8.8000000000000007</v>
      </c>
      <c r="N635" t="s">
        <v>24</v>
      </c>
    </row>
    <row r="636" spans="1:14" x14ac:dyDescent="0.3">
      <c r="A636" t="s">
        <v>669</v>
      </c>
      <c r="B636">
        <v>19</v>
      </c>
      <c r="C636" t="s">
        <v>21</v>
      </c>
      <c r="D636" t="s">
        <v>37</v>
      </c>
      <c r="E636">
        <v>3</v>
      </c>
      <c r="F636">
        <v>5.0599999999999996</v>
      </c>
      <c r="G636">
        <v>3</v>
      </c>
      <c r="H636">
        <v>73</v>
      </c>
      <c r="I636" t="s">
        <v>27</v>
      </c>
      <c r="J636" t="s">
        <v>23</v>
      </c>
      <c r="K636">
        <v>2.5</v>
      </c>
      <c r="L636">
        <v>10</v>
      </c>
      <c r="M636">
        <v>4.7</v>
      </c>
      <c r="N636" t="s">
        <v>24</v>
      </c>
    </row>
    <row r="637" spans="1:14" x14ac:dyDescent="0.3">
      <c r="A637" t="s">
        <v>670</v>
      </c>
      <c r="B637">
        <v>21</v>
      </c>
      <c r="C637" t="s">
        <v>21</v>
      </c>
      <c r="D637" t="s">
        <v>22</v>
      </c>
      <c r="E637">
        <v>2</v>
      </c>
      <c r="F637">
        <v>4.3600000000000003</v>
      </c>
      <c r="G637">
        <v>5</v>
      </c>
      <c r="H637">
        <v>92.1</v>
      </c>
      <c r="I637" t="s">
        <v>17</v>
      </c>
      <c r="J637" t="s">
        <v>23</v>
      </c>
      <c r="K637">
        <v>8</v>
      </c>
      <c r="L637">
        <v>5</v>
      </c>
      <c r="M637">
        <v>8.6999999999999993</v>
      </c>
      <c r="N637" t="s">
        <v>19</v>
      </c>
    </row>
    <row r="638" spans="1:14" x14ac:dyDescent="0.3">
      <c r="A638" t="s">
        <v>671</v>
      </c>
      <c r="B638">
        <v>21</v>
      </c>
      <c r="C638" t="s">
        <v>15</v>
      </c>
      <c r="D638" t="s">
        <v>48</v>
      </c>
      <c r="E638">
        <v>3</v>
      </c>
      <c r="F638">
        <v>6.22</v>
      </c>
      <c r="G638">
        <v>3</v>
      </c>
      <c r="H638">
        <v>65.3</v>
      </c>
      <c r="I638" t="s">
        <v>27</v>
      </c>
      <c r="J638" t="s">
        <v>23</v>
      </c>
      <c r="K638">
        <v>6.1</v>
      </c>
      <c r="L638">
        <v>3</v>
      </c>
      <c r="M638">
        <v>8.6</v>
      </c>
      <c r="N638" t="s">
        <v>19</v>
      </c>
    </row>
    <row r="639" spans="1:14" x14ac:dyDescent="0.3">
      <c r="A639" t="s">
        <v>672</v>
      </c>
      <c r="B639">
        <v>24</v>
      </c>
      <c r="C639" t="s">
        <v>15</v>
      </c>
      <c r="D639" t="s">
        <v>26</v>
      </c>
      <c r="E639">
        <v>2</v>
      </c>
      <c r="F639">
        <v>5.7</v>
      </c>
      <c r="G639">
        <v>2</v>
      </c>
      <c r="H639">
        <v>85.3</v>
      </c>
      <c r="I639" t="s">
        <v>30</v>
      </c>
      <c r="J639" t="s">
        <v>35</v>
      </c>
      <c r="K639">
        <v>1.6</v>
      </c>
      <c r="L639">
        <v>9</v>
      </c>
      <c r="M639">
        <v>6.5</v>
      </c>
      <c r="N639" t="s">
        <v>19</v>
      </c>
    </row>
    <row r="640" spans="1:14" x14ac:dyDescent="0.3">
      <c r="A640" t="s">
        <v>673</v>
      </c>
      <c r="B640">
        <v>27</v>
      </c>
      <c r="C640" t="s">
        <v>15</v>
      </c>
      <c r="D640" t="s">
        <v>39</v>
      </c>
      <c r="E640">
        <v>3</v>
      </c>
      <c r="F640">
        <v>10</v>
      </c>
      <c r="G640">
        <v>4</v>
      </c>
      <c r="H640">
        <v>57.7</v>
      </c>
      <c r="I640" t="s">
        <v>30</v>
      </c>
      <c r="J640" t="s">
        <v>23</v>
      </c>
      <c r="K640">
        <v>2.6</v>
      </c>
      <c r="L640">
        <v>8</v>
      </c>
      <c r="M640">
        <v>9.6</v>
      </c>
      <c r="N640" t="s">
        <v>24</v>
      </c>
    </row>
    <row r="641" spans="1:14" x14ac:dyDescent="0.3">
      <c r="A641" t="s">
        <v>674</v>
      </c>
      <c r="B641">
        <v>19</v>
      </c>
      <c r="C641" t="s">
        <v>15</v>
      </c>
      <c r="D641" t="s">
        <v>39</v>
      </c>
      <c r="E641">
        <v>2</v>
      </c>
      <c r="F641">
        <v>6.34</v>
      </c>
      <c r="G641">
        <v>2</v>
      </c>
      <c r="H641">
        <v>77</v>
      </c>
      <c r="I641" t="s">
        <v>17</v>
      </c>
      <c r="J641" t="s">
        <v>18</v>
      </c>
      <c r="K641">
        <v>0.7</v>
      </c>
      <c r="L641">
        <v>10</v>
      </c>
      <c r="M641">
        <v>5</v>
      </c>
      <c r="N641" t="s">
        <v>24</v>
      </c>
    </row>
    <row r="642" spans="1:14" x14ac:dyDescent="0.3">
      <c r="A642" t="s">
        <v>675</v>
      </c>
      <c r="B642">
        <v>17</v>
      </c>
      <c r="C642" t="s">
        <v>21</v>
      </c>
      <c r="D642" t="s">
        <v>39</v>
      </c>
      <c r="E642">
        <v>2</v>
      </c>
      <c r="F642">
        <v>7.35</v>
      </c>
      <c r="G642">
        <v>3</v>
      </c>
      <c r="H642">
        <v>69.900000000000006</v>
      </c>
      <c r="I642" t="s">
        <v>27</v>
      </c>
      <c r="J642" t="s">
        <v>54</v>
      </c>
      <c r="K642">
        <v>4.9000000000000004</v>
      </c>
      <c r="L642">
        <v>1</v>
      </c>
      <c r="M642">
        <v>6</v>
      </c>
      <c r="N642" t="s">
        <v>19</v>
      </c>
    </row>
    <row r="643" spans="1:14" x14ac:dyDescent="0.3">
      <c r="A643" t="s">
        <v>676</v>
      </c>
      <c r="B643">
        <v>26</v>
      </c>
      <c r="C643" t="s">
        <v>21</v>
      </c>
      <c r="D643" t="s">
        <v>26</v>
      </c>
      <c r="E643">
        <v>1</v>
      </c>
      <c r="F643">
        <v>8.34</v>
      </c>
      <c r="G643">
        <v>2</v>
      </c>
      <c r="H643">
        <v>82.2</v>
      </c>
      <c r="I643" t="s">
        <v>30</v>
      </c>
      <c r="J643" t="s">
        <v>35</v>
      </c>
      <c r="K643">
        <v>1.8</v>
      </c>
      <c r="L643">
        <v>3</v>
      </c>
      <c r="M643">
        <v>5.8</v>
      </c>
      <c r="N643" t="s">
        <v>19</v>
      </c>
    </row>
    <row r="644" spans="1:14" x14ac:dyDescent="0.3">
      <c r="A644" t="s">
        <v>677</v>
      </c>
      <c r="B644">
        <v>27</v>
      </c>
      <c r="C644" t="s">
        <v>15</v>
      </c>
      <c r="D644" t="s">
        <v>26</v>
      </c>
      <c r="E644">
        <v>1</v>
      </c>
      <c r="F644">
        <v>8.5299999999999994</v>
      </c>
      <c r="G644">
        <v>7</v>
      </c>
      <c r="H644">
        <v>70.599999999999994</v>
      </c>
      <c r="I644" t="s">
        <v>27</v>
      </c>
      <c r="J644" t="s">
        <v>33</v>
      </c>
      <c r="K644">
        <v>0.2</v>
      </c>
      <c r="L644">
        <v>9</v>
      </c>
      <c r="M644">
        <v>7.7</v>
      </c>
      <c r="N644" t="s">
        <v>24</v>
      </c>
    </row>
    <row r="645" spans="1:14" x14ac:dyDescent="0.3">
      <c r="A645" t="s">
        <v>678</v>
      </c>
      <c r="B645">
        <v>26</v>
      </c>
      <c r="C645" t="s">
        <v>15</v>
      </c>
      <c r="D645" t="s">
        <v>16</v>
      </c>
      <c r="E645">
        <v>3</v>
      </c>
      <c r="F645">
        <v>4.71</v>
      </c>
      <c r="G645">
        <v>10</v>
      </c>
      <c r="H645">
        <v>74.5</v>
      </c>
      <c r="I645" t="s">
        <v>27</v>
      </c>
      <c r="J645" t="s">
        <v>35</v>
      </c>
      <c r="K645">
        <v>7.5</v>
      </c>
      <c r="L645">
        <v>7</v>
      </c>
      <c r="M645">
        <v>9.1</v>
      </c>
      <c r="N645" t="s">
        <v>19</v>
      </c>
    </row>
    <row r="646" spans="1:14" x14ac:dyDescent="0.3">
      <c r="A646" t="s">
        <v>679</v>
      </c>
      <c r="B646">
        <v>21</v>
      </c>
      <c r="C646" t="s">
        <v>15</v>
      </c>
      <c r="D646" t="s">
        <v>43</v>
      </c>
      <c r="E646">
        <v>3</v>
      </c>
      <c r="F646">
        <v>8.69</v>
      </c>
      <c r="G646">
        <v>7</v>
      </c>
      <c r="H646">
        <v>88.1</v>
      </c>
      <c r="I646" t="s">
        <v>27</v>
      </c>
      <c r="J646" t="s">
        <v>23</v>
      </c>
      <c r="K646">
        <v>4.9000000000000004</v>
      </c>
      <c r="L646">
        <v>2</v>
      </c>
      <c r="M646">
        <v>6.4</v>
      </c>
      <c r="N646" t="s">
        <v>24</v>
      </c>
    </row>
    <row r="647" spans="1:14" x14ac:dyDescent="0.3">
      <c r="A647" t="s">
        <v>680</v>
      </c>
      <c r="B647">
        <v>20</v>
      </c>
      <c r="C647" t="s">
        <v>21</v>
      </c>
      <c r="D647" t="s">
        <v>26</v>
      </c>
      <c r="E647">
        <v>2</v>
      </c>
      <c r="F647">
        <v>7.86</v>
      </c>
      <c r="G647">
        <v>5</v>
      </c>
      <c r="H647">
        <v>84</v>
      </c>
      <c r="I647" t="s">
        <v>17</v>
      </c>
      <c r="J647" t="s">
        <v>33</v>
      </c>
      <c r="K647">
        <v>2.8</v>
      </c>
      <c r="L647">
        <v>3</v>
      </c>
      <c r="M647">
        <v>6.4</v>
      </c>
      <c r="N647" t="s">
        <v>24</v>
      </c>
    </row>
    <row r="648" spans="1:14" x14ac:dyDescent="0.3">
      <c r="A648" t="s">
        <v>681</v>
      </c>
      <c r="B648">
        <v>26</v>
      </c>
      <c r="C648" t="s">
        <v>21</v>
      </c>
      <c r="D648" t="s">
        <v>29</v>
      </c>
      <c r="E648">
        <v>2</v>
      </c>
      <c r="F648">
        <v>4.8899999999999997</v>
      </c>
      <c r="G648">
        <v>4</v>
      </c>
      <c r="H648">
        <v>77.400000000000006</v>
      </c>
      <c r="I648" t="s">
        <v>30</v>
      </c>
      <c r="J648" t="s">
        <v>18</v>
      </c>
      <c r="K648">
        <v>3.7</v>
      </c>
      <c r="L648">
        <v>1</v>
      </c>
      <c r="M648">
        <v>4.8</v>
      </c>
      <c r="N648" t="s">
        <v>19</v>
      </c>
    </row>
    <row r="649" spans="1:14" x14ac:dyDescent="0.3">
      <c r="A649" t="s">
        <v>682</v>
      </c>
      <c r="B649">
        <v>24</v>
      </c>
      <c r="C649" t="s">
        <v>21</v>
      </c>
      <c r="D649" t="s">
        <v>16</v>
      </c>
      <c r="E649">
        <v>1</v>
      </c>
      <c r="F649">
        <v>8.4600000000000009</v>
      </c>
      <c r="G649">
        <v>2</v>
      </c>
      <c r="H649">
        <v>98.8</v>
      </c>
      <c r="I649" t="s">
        <v>27</v>
      </c>
      <c r="J649" t="s">
        <v>18</v>
      </c>
      <c r="K649">
        <v>0.5</v>
      </c>
      <c r="L649">
        <v>8</v>
      </c>
      <c r="M649">
        <v>9.6999999999999993</v>
      </c>
      <c r="N649" t="s">
        <v>19</v>
      </c>
    </row>
    <row r="650" spans="1:14" x14ac:dyDescent="0.3">
      <c r="A650" t="s">
        <v>683</v>
      </c>
      <c r="B650">
        <v>27</v>
      </c>
      <c r="C650" t="s">
        <v>15</v>
      </c>
      <c r="D650" t="s">
        <v>22</v>
      </c>
      <c r="E650">
        <v>2</v>
      </c>
      <c r="F650">
        <v>8.24</v>
      </c>
      <c r="G650">
        <v>5</v>
      </c>
      <c r="H650">
        <v>64.099999999999994</v>
      </c>
      <c r="I650" t="s">
        <v>30</v>
      </c>
      <c r="J650" t="s">
        <v>23</v>
      </c>
      <c r="K650">
        <v>0.6</v>
      </c>
      <c r="L650">
        <v>5</v>
      </c>
      <c r="M650">
        <v>8.1</v>
      </c>
      <c r="N650" t="s">
        <v>24</v>
      </c>
    </row>
    <row r="651" spans="1:14" x14ac:dyDescent="0.3">
      <c r="A651" t="s">
        <v>684</v>
      </c>
      <c r="B651">
        <v>25</v>
      </c>
      <c r="C651" t="s">
        <v>21</v>
      </c>
      <c r="D651" t="s">
        <v>26</v>
      </c>
      <c r="E651">
        <v>2</v>
      </c>
      <c r="F651">
        <v>5.72</v>
      </c>
      <c r="G651">
        <v>10</v>
      </c>
      <c r="H651">
        <v>88.4</v>
      </c>
      <c r="I651" t="s">
        <v>17</v>
      </c>
      <c r="J651" t="s">
        <v>35</v>
      </c>
      <c r="K651">
        <v>4</v>
      </c>
      <c r="L651">
        <v>2</v>
      </c>
      <c r="M651">
        <v>10</v>
      </c>
      <c r="N651" t="s">
        <v>19</v>
      </c>
    </row>
    <row r="652" spans="1:14" x14ac:dyDescent="0.3">
      <c r="A652" t="s">
        <v>685</v>
      </c>
      <c r="B652">
        <v>26</v>
      </c>
      <c r="C652" t="s">
        <v>15</v>
      </c>
      <c r="D652" t="s">
        <v>26</v>
      </c>
      <c r="E652">
        <v>1</v>
      </c>
      <c r="F652">
        <v>5.1100000000000003</v>
      </c>
      <c r="G652">
        <v>10</v>
      </c>
      <c r="H652">
        <v>82.5</v>
      </c>
      <c r="I652" t="s">
        <v>30</v>
      </c>
      <c r="J652" t="s">
        <v>35</v>
      </c>
      <c r="K652">
        <v>3.9</v>
      </c>
      <c r="L652">
        <v>10</v>
      </c>
      <c r="M652">
        <v>9.4</v>
      </c>
      <c r="N652" t="s">
        <v>24</v>
      </c>
    </row>
    <row r="653" spans="1:14" x14ac:dyDescent="0.3">
      <c r="A653" t="s">
        <v>686</v>
      </c>
      <c r="B653">
        <v>17</v>
      </c>
      <c r="C653" t="s">
        <v>15</v>
      </c>
      <c r="D653" t="s">
        <v>26</v>
      </c>
      <c r="E653">
        <v>1</v>
      </c>
      <c r="F653">
        <v>7.22</v>
      </c>
      <c r="G653">
        <v>7</v>
      </c>
      <c r="H653">
        <v>74.3</v>
      </c>
      <c r="I653" t="s">
        <v>27</v>
      </c>
      <c r="J653" t="s">
        <v>54</v>
      </c>
      <c r="K653">
        <v>7.2</v>
      </c>
      <c r="L653">
        <v>1</v>
      </c>
      <c r="M653">
        <v>6.7</v>
      </c>
      <c r="N653" t="s">
        <v>24</v>
      </c>
    </row>
    <row r="654" spans="1:14" x14ac:dyDescent="0.3">
      <c r="A654" t="s">
        <v>687</v>
      </c>
      <c r="B654">
        <v>27</v>
      </c>
      <c r="C654" t="s">
        <v>21</v>
      </c>
      <c r="D654" t="s">
        <v>43</v>
      </c>
      <c r="E654">
        <v>1</v>
      </c>
      <c r="F654">
        <v>5.25</v>
      </c>
      <c r="G654">
        <v>9</v>
      </c>
      <c r="H654">
        <v>52.2</v>
      </c>
      <c r="I654" t="s">
        <v>27</v>
      </c>
      <c r="J654" t="s">
        <v>23</v>
      </c>
      <c r="K654">
        <v>0.1</v>
      </c>
      <c r="L654">
        <v>2</v>
      </c>
      <c r="M654">
        <v>4.2</v>
      </c>
      <c r="N654" t="s">
        <v>24</v>
      </c>
    </row>
    <row r="655" spans="1:14" x14ac:dyDescent="0.3">
      <c r="A655" t="s">
        <v>688</v>
      </c>
      <c r="B655">
        <v>20</v>
      </c>
      <c r="C655" t="s">
        <v>15</v>
      </c>
      <c r="D655" t="s">
        <v>39</v>
      </c>
      <c r="E655">
        <v>1</v>
      </c>
      <c r="F655">
        <v>6.3</v>
      </c>
      <c r="G655">
        <v>3</v>
      </c>
      <c r="H655">
        <v>70.8</v>
      </c>
      <c r="I655" t="s">
        <v>17</v>
      </c>
      <c r="J655" t="s">
        <v>35</v>
      </c>
      <c r="K655">
        <v>3.5</v>
      </c>
      <c r="L655">
        <v>10</v>
      </c>
      <c r="M655">
        <v>8.1999999999999993</v>
      </c>
      <c r="N655" t="s">
        <v>24</v>
      </c>
    </row>
    <row r="656" spans="1:14" x14ac:dyDescent="0.3">
      <c r="A656" t="s">
        <v>689</v>
      </c>
      <c r="B656">
        <v>26</v>
      </c>
      <c r="C656" t="s">
        <v>15</v>
      </c>
      <c r="D656" t="s">
        <v>32</v>
      </c>
      <c r="E656">
        <v>4</v>
      </c>
      <c r="F656">
        <v>9.4</v>
      </c>
      <c r="G656">
        <v>9</v>
      </c>
      <c r="H656">
        <v>89.7</v>
      </c>
      <c r="I656" t="s">
        <v>17</v>
      </c>
      <c r="J656" t="s">
        <v>35</v>
      </c>
      <c r="K656">
        <v>6.3</v>
      </c>
      <c r="L656">
        <v>8</v>
      </c>
      <c r="M656">
        <v>5.4</v>
      </c>
      <c r="N656" t="s">
        <v>24</v>
      </c>
    </row>
    <row r="657" spans="1:14" x14ac:dyDescent="0.3">
      <c r="A657" t="s">
        <v>690</v>
      </c>
      <c r="B657">
        <v>25</v>
      </c>
      <c r="C657" t="s">
        <v>15</v>
      </c>
      <c r="D657" t="s">
        <v>39</v>
      </c>
      <c r="E657">
        <v>3</v>
      </c>
      <c r="F657">
        <v>8.2100000000000009</v>
      </c>
      <c r="G657">
        <v>4</v>
      </c>
      <c r="H657">
        <v>80.5</v>
      </c>
      <c r="I657" t="s">
        <v>27</v>
      </c>
      <c r="J657" t="s">
        <v>33</v>
      </c>
      <c r="K657">
        <v>2.7</v>
      </c>
      <c r="L657">
        <v>5</v>
      </c>
      <c r="M657">
        <v>9.1</v>
      </c>
      <c r="N657" t="s">
        <v>24</v>
      </c>
    </row>
    <row r="658" spans="1:14" x14ac:dyDescent="0.3">
      <c r="A658" t="s">
        <v>691</v>
      </c>
      <c r="B658">
        <v>23</v>
      </c>
      <c r="C658" t="s">
        <v>15</v>
      </c>
      <c r="D658" t="s">
        <v>48</v>
      </c>
      <c r="E658">
        <v>1</v>
      </c>
      <c r="F658">
        <v>6.38</v>
      </c>
      <c r="G658">
        <v>3</v>
      </c>
      <c r="H658">
        <v>68.400000000000006</v>
      </c>
      <c r="I658" t="s">
        <v>17</v>
      </c>
      <c r="J658" t="s">
        <v>18</v>
      </c>
      <c r="K658">
        <v>6.6</v>
      </c>
      <c r="L658">
        <v>5</v>
      </c>
      <c r="M658">
        <v>4.7</v>
      </c>
      <c r="N658" t="s">
        <v>19</v>
      </c>
    </row>
    <row r="659" spans="1:14" x14ac:dyDescent="0.3">
      <c r="A659" t="s">
        <v>692</v>
      </c>
      <c r="B659">
        <v>17</v>
      </c>
      <c r="C659" t="s">
        <v>21</v>
      </c>
      <c r="D659" t="s">
        <v>16</v>
      </c>
      <c r="E659">
        <v>3</v>
      </c>
      <c r="F659">
        <v>9.39</v>
      </c>
      <c r="G659">
        <v>9</v>
      </c>
      <c r="H659">
        <v>70</v>
      </c>
      <c r="I659" t="s">
        <v>27</v>
      </c>
      <c r="J659" t="s">
        <v>18</v>
      </c>
      <c r="K659">
        <v>7.9</v>
      </c>
      <c r="L659">
        <v>4</v>
      </c>
      <c r="M659">
        <v>4.5</v>
      </c>
      <c r="N659" t="s">
        <v>19</v>
      </c>
    </row>
    <row r="660" spans="1:14" x14ac:dyDescent="0.3">
      <c r="A660" t="s">
        <v>693</v>
      </c>
      <c r="B660">
        <v>20</v>
      </c>
      <c r="C660" t="s">
        <v>15</v>
      </c>
      <c r="D660" t="s">
        <v>32</v>
      </c>
      <c r="E660">
        <v>2</v>
      </c>
      <c r="F660">
        <v>9.1300000000000008</v>
      </c>
      <c r="G660">
        <v>6</v>
      </c>
      <c r="H660">
        <v>79.3</v>
      </c>
      <c r="I660" t="s">
        <v>27</v>
      </c>
      <c r="J660" t="s">
        <v>23</v>
      </c>
      <c r="K660">
        <v>4.5</v>
      </c>
      <c r="L660">
        <v>1</v>
      </c>
      <c r="M660">
        <v>8</v>
      </c>
      <c r="N660" t="s">
        <v>19</v>
      </c>
    </row>
    <row r="661" spans="1:14" x14ac:dyDescent="0.3">
      <c r="A661" t="s">
        <v>694</v>
      </c>
      <c r="B661">
        <v>17</v>
      </c>
      <c r="C661" t="s">
        <v>15</v>
      </c>
      <c r="D661" t="s">
        <v>48</v>
      </c>
      <c r="E661">
        <v>3</v>
      </c>
      <c r="F661">
        <v>5.83</v>
      </c>
      <c r="G661">
        <v>7</v>
      </c>
      <c r="H661">
        <v>50.5</v>
      </c>
      <c r="I661" t="s">
        <v>30</v>
      </c>
      <c r="J661" t="s">
        <v>33</v>
      </c>
      <c r="K661">
        <v>3.6</v>
      </c>
      <c r="L661">
        <v>3</v>
      </c>
      <c r="M661">
        <v>8.4</v>
      </c>
      <c r="N661" t="s">
        <v>19</v>
      </c>
    </row>
    <row r="662" spans="1:14" x14ac:dyDescent="0.3">
      <c r="A662" t="s">
        <v>695</v>
      </c>
      <c r="B662">
        <v>22</v>
      </c>
      <c r="C662" t="s">
        <v>21</v>
      </c>
      <c r="D662" t="s">
        <v>37</v>
      </c>
      <c r="E662">
        <v>3</v>
      </c>
      <c r="F662">
        <v>4.42</v>
      </c>
      <c r="G662">
        <v>3</v>
      </c>
      <c r="H662">
        <v>90.7</v>
      </c>
      <c r="I662" t="s">
        <v>17</v>
      </c>
      <c r="J662" t="s">
        <v>23</v>
      </c>
      <c r="K662">
        <v>5</v>
      </c>
      <c r="L662">
        <v>4</v>
      </c>
      <c r="M662">
        <v>8.3000000000000007</v>
      </c>
      <c r="N662" t="s">
        <v>19</v>
      </c>
    </row>
    <row r="663" spans="1:14" x14ac:dyDescent="0.3">
      <c r="A663" t="s">
        <v>696</v>
      </c>
      <c r="B663">
        <v>21</v>
      </c>
      <c r="C663" t="s">
        <v>21</v>
      </c>
      <c r="D663" t="s">
        <v>37</v>
      </c>
      <c r="E663">
        <v>1</v>
      </c>
      <c r="F663">
        <v>5.31</v>
      </c>
      <c r="G663">
        <v>8</v>
      </c>
      <c r="H663">
        <v>62.1</v>
      </c>
      <c r="I663" t="s">
        <v>17</v>
      </c>
      <c r="J663" t="s">
        <v>35</v>
      </c>
      <c r="K663">
        <v>6.7</v>
      </c>
      <c r="L663">
        <v>4</v>
      </c>
      <c r="M663">
        <v>4.5</v>
      </c>
      <c r="N663" t="s">
        <v>24</v>
      </c>
    </row>
    <row r="664" spans="1:14" x14ac:dyDescent="0.3">
      <c r="A664" t="s">
        <v>697</v>
      </c>
      <c r="B664">
        <v>27</v>
      </c>
      <c r="C664" t="s">
        <v>21</v>
      </c>
      <c r="D664" t="s">
        <v>39</v>
      </c>
      <c r="E664">
        <v>1</v>
      </c>
      <c r="F664">
        <v>7.78</v>
      </c>
      <c r="G664">
        <v>2</v>
      </c>
      <c r="H664">
        <v>88.4</v>
      </c>
      <c r="I664" t="s">
        <v>27</v>
      </c>
      <c r="J664" t="s">
        <v>54</v>
      </c>
      <c r="K664">
        <v>6.2</v>
      </c>
      <c r="L664">
        <v>10</v>
      </c>
      <c r="M664">
        <v>9.9</v>
      </c>
      <c r="N664" t="s">
        <v>24</v>
      </c>
    </row>
    <row r="665" spans="1:14" x14ac:dyDescent="0.3">
      <c r="A665" t="s">
        <v>698</v>
      </c>
      <c r="B665">
        <v>27</v>
      </c>
      <c r="C665" t="s">
        <v>15</v>
      </c>
      <c r="D665" t="s">
        <v>16</v>
      </c>
      <c r="E665">
        <v>3</v>
      </c>
      <c r="F665">
        <v>7.86</v>
      </c>
      <c r="G665">
        <v>5</v>
      </c>
      <c r="H665">
        <v>77.3</v>
      </c>
      <c r="I665" t="s">
        <v>27</v>
      </c>
      <c r="J665" t="s">
        <v>18</v>
      </c>
      <c r="K665">
        <v>1</v>
      </c>
      <c r="L665">
        <v>10</v>
      </c>
      <c r="M665">
        <v>4.4000000000000004</v>
      </c>
      <c r="N665" t="s">
        <v>19</v>
      </c>
    </row>
    <row r="666" spans="1:14" x14ac:dyDescent="0.3">
      <c r="A666" t="s">
        <v>699</v>
      </c>
      <c r="B666">
        <v>24</v>
      </c>
      <c r="C666" t="s">
        <v>15</v>
      </c>
      <c r="D666" t="s">
        <v>22</v>
      </c>
      <c r="E666">
        <v>2</v>
      </c>
      <c r="F666">
        <v>5.63</v>
      </c>
      <c r="G666">
        <v>10</v>
      </c>
      <c r="H666">
        <v>92.6</v>
      </c>
      <c r="I666" t="s">
        <v>30</v>
      </c>
      <c r="J666" t="s">
        <v>54</v>
      </c>
      <c r="K666">
        <v>7</v>
      </c>
      <c r="L666">
        <v>5</v>
      </c>
      <c r="M666">
        <v>7.7</v>
      </c>
      <c r="N666" t="s">
        <v>24</v>
      </c>
    </row>
    <row r="667" spans="1:14" x14ac:dyDescent="0.3">
      <c r="A667" t="s">
        <v>700</v>
      </c>
      <c r="B667">
        <v>20</v>
      </c>
      <c r="C667" t="s">
        <v>21</v>
      </c>
      <c r="D667" t="s">
        <v>48</v>
      </c>
      <c r="E667">
        <v>2</v>
      </c>
      <c r="F667">
        <v>5.35</v>
      </c>
      <c r="G667">
        <v>5</v>
      </c>
      <c r="H667">
        <v>62.7</v>
      </c>
      <c r="I667" t="s">
        <v>30</v>
      </c>
      <c r="J667" t="s">
        <v>23</v>
      </c>
      <c r="K667">
        <v>8.6</v>
      </c>
      <c r="L667">
        <v>4</v>
      </c>
      <c r="M667">
        <v>6</v>
      </c>
      <c r="N667" t="s">
        <v>24</v>
      </c>
    </row>
    <row r="668" spans="1:14" x14ac:dyDescent="0.3">
      <c r="A668" t="s">
        <v>701</v>
      </c>
      <c r="B668">
        <v>17</v>
      </c>
      <c r="C668" t="s">
        <v>21</v>
      </c>
      <c r="D668" t="s">
        <v>37</v>
      </c>
      <c r="E668">
        <v>3</v>
      </c>
      <c r="F668">
        <v>8.09</v>
      </c>
      <c r="G668">
        <v>6</v>
      </c>
      <c r="H668">
        <v>53</v>
      </c>
      <c r="I668" t="s">
        <v>27</v>
      </c>
      <c r="J668" t="s">
        <v>33</v>
      </c>
      <c r="K668">
        <v>1.5</v>
      </c>
      <c r="L668">
        <v>6</v>
      </c>
      <c r="M668">
        <v>8.3000000000000007</v>
      </c>
      <c r="N668" t="s">
        <v>19</v>
      </c>
    </row>
    <row r="669" spans="1:14" x14ac:dyDescent="0.3">
      <c r="A669" t="s">
        <v>702</v>
      </c>
      <c r="B669">
        <v>17</v>
      </c>
      <c r="C669" t="s">
        <v>21</v>
      </c>
      <c r="D669" t="s">
        <v>39</v>
      </c>
      <c r="E669">
        <v>2</v>
      </c>
      <c r="F669">
        <v>7.53</v>
      </c>
      <c r="G669">
        <v>3</v>
      </c>
      <c r="H669">
        <v>69.599999999999994</v>
      </c>
      <c r="I669" t="s">
        <v>30</v>
      </c>
      <c r="J669" t="s">
        <v>35</v>
      </c>
      <c r="K669">
        <v>4.5</v>
      </c>
      <c r="L669">
        <v>3</v>
      </c>
      <c r="M669">
        <v>7.3</v>
      </c>
      <c r="N669" t="s">
        <v>24</v>
      </c>
    </row>
    <row r="670" spans="1:14" x14ac:dyDescent="0.3">
      <c r="A670" t="s">
        <v>703</v>
      </c>
      <c r="B670">
        <v>21</v>
      </c>
      <c r="C670" t="s">
        <v>21</v>
      </c>
      <c r="D670" t="s">
        <v>48</v>
      </c>
      <c r="E670">
        <v>3</v>
      </c>
      <c r="F670">
        <v>4</v>
      </c>
      <c r="G670">
        <v>5</v>
      </c>
      <c r="H670">
        <v>86.1</v>
      </c>
      <c r="I670" t="s">
        <v>17</v>
      </c>
      <c r="J670" t="s">
        <v>33</v>
      </c>
      <c r="K670">
        <v>1.6</v>
      </c>
      <c r="L670">
        <v>9</v>
      </c>
      <c r="M670">
        <v>5.0999999999999996</v>
      </c>
      <c r="N670" t="s">
        <v>19</v>
      </c>
    </row>
    <row r="671" spans="1:14" x14ac:dyDescent="0.3">
      <c r="A671" t="s">
        <v>704</v>
      </c>
      <c r="B671">
        <v>25</v>
      </c>
      <c r="C671" t="s">
        <v>21</v>
      </c>
      <c r="D671" t="s">
        <v>43</v>
      </c>
      <c r="E671">
        <v>2</v>
      </c>
      <c r="F671">
        <v>9.52</v>
      </c>
      <c r="G671">
        <v>7</v>
      </c>
      <c r="H671">
        <v>89.4</v>
      </c>
      <c r="I671" t="s">
        <v>30</v>
      </c>
      <c r="J671" t="s">
        <v>18</v>
      </c>
      <c r="K671">
        <v>0.2</v>
      </c>
      <c r="L671">
        <v>2</v>
      </c>
      <c r="M671">
        <v>6.6</v>
      </c>
      <c r="N671" t="s">
        <v>19</v>
      </c>
    </row>
    <row r="672" spans="1:14" x14ac:dyDescent="0.3">
      <c r="A672" t="s">
        <v>705</v>
      </c>
      <c r="B672">
        <v>26</v>
      </c>
      <c r="C672" t="s">
        <v>15</v>
      </c>
      <c r="D672" t="s">
        <v>43</v>
      </c>
      <c r="E672">
        <v>1</v>
      </c>
      <c r="F672">
        <v>9.84</v>
      </c>
      <c r="G672">
        <v>2</v>
      </c>
      <c r="H672">
        <v>67.2</v>
      </c>
      <c r="I672" t="s">
        <v>17</v>
      </c>
      <c r="J672" t="s">
        <v>23</v>
      </c>
      <c r="K672">
        <v>6.9</v>
      </c>
      <c r="L672">
        <v>7</v>
      </c>
      <c r="M672">
        <v>8.4</v>
      </c>
      <c r="N672" t="s">
        <v>24</v>
      </c>
    </row>
    <row r="673" spans="1:14" x14ac:dyDescent="0.3">
      <c r="A673" t="s">
        <v>706</v>
      </c>
      <c r="B673">
        <v>27</v>
      </c>
      <c r="C673" t="s">
        <v>21</v>
      </c>
      <c r="D673" t="s">
        <v>32</v>
      </c>
      <c r="E673">
        <v>4</v>
      </c>
      <c r="F673">
        <v>6.09</v>
      </c>
      <c r="G673">
        <v>5</v>
      </c>
      <c r="H673">
        <v>95</v>
      </c>
      <c r="I673" t="s">
        <v>27</v>
      </c>
      <c r="J673" t="s">
        <v>23</v>
      </c>
      <c r="K673">
        <v>0.7</v>
      </c>
      <c r="L673">
        <v>1</v>
      </c>
      <c r="M673">
        <v>4</v>
      </c>
      <c r="N673" t="s">
        <v>24</v>
      </c>
    </row>
    <row r="674" spans="1:14" x14ac:dyDescent="0.3">
      <c r="A674" t="s">
        <v>707</v>
      </c>
      <c r="B674">
        <v>21</v>
      </c>
      <c r="C674" t="s">
        <v>21</v>
      </c>
      <c r="D674" t="s">
        <v>43</v>
      </c>
      <c r="E674">
        <v>2</v>
      </c>
      <c r="F674">
        <v>8.9</v>
      </c>
      <c r="G674">
        <v>7</v>
      </c>
      <c r="H674">
        <v>72.900000000000006</v>
      </c>
      <c r="I674" t="s">
        <v>27</v>
      </c>
      <c r="J674" t="s">
        <v>35</v>
      </c>
      <c r="K674">
        <v>6.5</v>
      </c>
      <c r="L674">
        <v>8</v>
      </c>
      <c r="M674">
        <v>5.2</v>
      </c>
      <c r="N674" t="s">
        <v>19</v>
      </c>
    </row>
    <row r="675" spans="1:14" x14ac:dyDescent="0.3">
      <c r="A675" t="s">
        <v>708</v>
      </c>
      <c r="B675">
        <v>24</v>
      </c>
      <c r="C675" t="s">
        <v>15</v>
      </c>
      <c r="D675" t="s">
        <v>37</v>
      </c>
      <c r="E675">
        <v>1</v>
      </c>
      <c r="F675">
        <v>8.65</v>
      </c>
      <c r="G675">
        <v>4</v>
      </c>
      <c r="H675">
        <v>59.5</v>
      </c>
      <c r="I675" t="s">
        <v>17</v>
      </c>
      <c r="J675" t="s">
        <v>23</v>
      </c>
      <c r="K675">
        <v>8</v>
      </c>
      <c r="L675">
        <v>5</v>
      </c>
      <c r="M675">
        <v>4</v>
      </c>
      <c r="N675" t="s">
        <v>19</v>
      </c>
    </row>
    <row r="676" spans="1:14" x14ac:dyDescent="0.3">
      <c r="A676" t="s">
        <v>709</v>
      </c>
      <c r="B676">
        <v>26</v>
      </c>
      <c r="C676" t="s">
        <v>15</v>
      </c>
      <c r="D676" t="s">
        <v>26</v>
      </c>
      <c r="E676">
        <v>1</v>
      </c>
      <c r="F676">
        <v>8.64</v>
      </c>
      <c r="G676">
        <v>5</v>
      </c>
      <c r="H676">
        <v>58.8</v>
      </c>
      <c r="I676" t="s">
        <v>27</v>
      </c>
      <c r="J676" t="s">
        <v>54</v>
      </c>
      <c r="K676">
        <v>0.5</v>
      </c>
      <c r="L676">
        <v>1</v>
      </c>
      <c r="M676">
        <v>5.0999999999999996</v>
      </c>
      <c r="N676" t="s">
        <v>24</v>
      </c>
    </row>
    <row r="677" spans="1:14" x14ac:dyDescent="0.3">
      <c r="A677" t="s">
        <v>710</v>
      </c>
      <c r="B677">
        <v>20</v>
      </c>
      <c r="C677" t="s">
        <v>15</v>
      </c>
      <c r="D677" t="s">
        <v>29</v>
      </c>
      <c r="E677">
        <v>1</v>
      </c>
      <c r="F677">
        <v>9.0399999999999991</v>
      </c>
      <c r="G677">
        <v>7</v>
      </c>
      <c r="H677">
        <v>52.2</v>
      </c>
      <c r="I677" t="s">
        <v>17</v>
      </c>
      <c r="J677" t="s">
        <v>54</v>
      </c>
      <c r="K677">
        <v>8.5</v>
      </c>
      <c r="L677">
        <v>1</v>
      </c>
      <c r="M677">
        <v>9.6999999999999993</v>
      </c>
      <c r="N677" t="s">
        <v>19</v>
      </c>
    </row>
    <row r="678" spans="1:14" x14ac:dyDescent="0.3">
      <c r="A678" t="s">
        <v>711</v>
      </c>
      <c r="B678">
        <v>26</v>
      </c>
      <c r="C678" t="s">
        <v>15</v>
      </c>
      <c r="D678" t="s">
        <v>39</v>
      </c>
      <c r="E678">
        <v>3</v>
      </c>
      <c r="F678">
        <v>9.94</v>
      </c>
      <c r="G678">
        <v>7</v>
      </c>
      <c r="H678">
        <v>64.2</v>
      </c>
      <c r="I678" t="s">
        <v>17</v>
      </c>
      <c r="J678" t="s">
        <v>35</v>
      </c>
      <c r="K678">
        <v>6.1</v>
      </c>
      <c r="L678">
        <v>4</v>
      </c>
      <c r="M678">
        <v>3.6</v>
      </c>
      <c r="N678" t="s">
        <v>24</v>
      </c>
    </row>
    <row r="679" spans="1:14" x14ac:dyDescent="0.3">
      <c r="A679" t="s">
        <v>712</v>
      </c>
      <c r="B679">
        <v>25</v>
      </c>
      <c r="C679" t="s">
        <v>21</v>
      </c>
      <c r="D679" t="s">
        <v>29</v>
      </c>
      <c r="E679">
        <v>2</v>
      </c>
      <c r="F679">
        <v>9.7799999999999994</v>
      </c>
      <c r="G679">
        <v>2</v>
      </c>
      <c r="H679">
        <v>79.8</v>
      </c>
      <c r="I679" t="s">
        <v>27</v>
      </c>
      <c r="J679" t="s">
        <v>18</v>
      </c>
      <c r="K679">
        <v>8.8000000000000007</v>
      </c>
      <c r="L679">
        <v>9</v>
      </c>
      <c r="M679">
        <v>7.3</v>
      </c>
      <c r="N679" t="s">
        <v>24</v>
      </c>
    </row>
    <row r="680" spans="1:14" x14ac:dyDescent="0.3">
      <c r="A680" t="s">
        <v>713</v>
      </c>
      <c r="B680">
        <v>23</v>
      </c>
      <c r="C680" t="s">
        <v>21</v>
      </c>
      <c r="D680" t="s">
        <v>32</v>
      </c>
      <c r="E680">
        <v>3</v>
      </c>
      <c r="F680">
        <v>9.8000000000000007</v>
      </c>
      <c r="G680">
        <v>4</v>
      </c>
      <c r="H680">
        <v>86.5</v>
      </c>
      <c r="I680" t="s">
        <v>30</v>
      </c>
      <c r="J680" t="s">
        <v>33</v>
      </c>
      <c r="K680">
        <v>0.1</v>
      </c>
      <c r="L680">
        <v>2</v>
      </c>
      <c r="M680">
        <v>7</v>
      </c>
      <c r="N680" t="s">
        <v>19</v>
      </c>
    </row>
    <row r="681" spans="1:14" x14ac:dyDescent="0.3">
      <c r="A681" t="s">
        <v>714</v>
      </c>
      <c r="B681">
        <v>18</v>
      </c>
      <c r="C681" t="s">
        <v>21</v>
      </c>
      <c r="D681" t="s">
        <v>26</v>
      </c>
      <c r="E681">
        <v>2</v>
      </c>
      <c r="F681">
        <v>7.72</v>
      </c>
      <c r="G681">
        <v>7</v>
      </c>
      <c r="H681">
        <v>97.3</v>
      </c>
      <c r="I681" t="s">
        <v>17</v>
      </c>
      <c r="J681" t="s">
        <v>35</v>
      </c>
      <c r="K681">
        <v>6.2</v>
      </c>
      <c r="L681">
        <v>1</v>
      </c>
      <c r="M681">
        <v>9.9</v>
      </c>
      <c r="N681" t="s">
        <v>19</v>
      </c>
    </row>
    <row r="682" spans="1:14" x14ac:dyDescent="0.3">
      <c r="A682" t="s">
        <v>715</v>
      </c>
      <c r="B682">
        <v>18</v>
      </c>
      <c r="C682" t="s">
        <v>21</v>
      </c>
      <c r="D682" t="s">
        <v>26</v>
      </c>
      <c r="E682">
        <v>2</v>
      </c>
      <c r="F682">
        <v>6.2</v>
      </c>
      <c r="G682">
        <v>6</v>
      </c>
      <c r="H682">
        <v>59.8</v>
      </c>
      <c r="I682" t="s">
        <v>30</v>
      </c>
      <c r="J682" t="s">
        <v>23</v>
      </c>
      <c r="K682">
        <v>7.5</v>
      </c>
      <c r="L682">
        <v>6</v>
      </c>
      <c r="M682">
        <v>9.5</v>
      </c>
      <c r="N682" t="s">
        <v>24</v>
      </c>
    </row>
    <row r="683" spans="1:14" x14ac:dyDescent="0.3">
      <c r="A683" t="s">
        <v>716</v>
      </c>
      <c r="B683">
        <v>23</v>
      </c>
      <c r="C683" t="s">
        <v>15</v>
      </c>
      <c r="D683" t="s">
        <v>22</v>
      </c>
      <c r="E683">
        <v>2</v>
      </c>
      <c r="F683">
        <v>4.72</v>
      </c>
      <c r="G683">
        <v>3</v>
      </c>
      <c r="H683">
        <v>77.400000000000006</v>
      </c>
      <c r="I683" t="s">
        <v>17</v>
      </c>
      <c r="J683" t="s">
        <v>33</v>
      </c>
      <c r="K683">
        <v>4.0999999999999996</v>
      </c>
      <c r="L683">
        <v>1</v>
      </c>
      <c r="M683">
        <v>4.7</v>
      </c>
      <c r="N683" t="s">
        <v>24</v>
      </c>
    </row>
    <row r="684" spans="1:14" x14ac:dyDescent="0.3">
      <c r="A684" t="s">
        <v>717</v>
      </c>
      <c r="B684">
        <v>24</v>
      </c>
      <c r="C684" t="s">
        <v>15</v>
      </c>
      <c r="D684" t="s">
        <v>48</v>
      </c>
      <c r="E684">
        <v>2</v>
      </c>
      <c r="F684">
        <v>4.84</v>
      </c>
      <c r="G684">
        <v>3</v>
      </c>
      <c r="H684">
        <v>87.4</v>
      </c>
      <c r="I684" t="s">
        <v>27</v>
      </c>
      <c r="J684" t="s">
        <v>18</v>
      </c>
      <c r="K684">
        <v>3.5</v>
      </c>
      <c r="L684">
        <v>6</v>
      </c>
      <c r="M684">
        <v>4</v>
      </c>
      <c r="N684" t="s">
        <v>19</v>
      </c>
    </row>
    <row r="685" spans="1:14" x14ac:dyDescent="0.3">
      <c r="A685" t="s">
        <v>718</v>
      </c>
      <c r="B685">
        <v>18</v>
      </c>
      <c r="C685" t="s">
        <v>21</v>
      </c>
      <c r="D685" t="s">
        <v>16</v>
      </c>
      <c r="E685">
        <v>3</v>
      </c>
      <c r="F685">
        <v>5.42</v>
      </c>
      <c r="G685">
        <v>8</v>
      </c>
      <c r="H685">
        <v>52.5</v>
      </c>
      <c r="I685" t="s">
        <v>27</v>
      </c>
      <c r="J685" t="s">
        <v>35</v>
      </c>
      <c r="K685">
        <v>1.2</v>
      </c>
      <c r="L685">
        <v>2</v>
      </c>
      <c r="M685">
        <v>5.3</v>
      </c>
      <c r="N685" t="s">
        <v>24</v>
      </c>
    </row>
    <row r="686" spans="1:14" x14ac:dyDescent="0.3">
      <c r="A686" t="s">
        <v>719</v>
      </c>
      <c r="B686">
        <v>24</v>
      </c>
      <c r="C686" t="s">
        <v>15</v>
      </c>
      <c r="D686" t="s">
        <v>39</v>
      </c>
      <c r="E686">
        <v>3</v>
      </c>
      <c r="F686">
        <v>7.18</v>
      </c>
      <c r="G686">
        <v>8</v>
      </c>
      <c r="H686">
        <v>99.6</v>
      </c>
      <c r="I686" t="s">
        <v>17</v>
      </c>
      <c r="J686" t="s">
        <v>54</v>
      </c>
      <c r="K686">
        <v>5.6</v>
      </c>
      <c r="L686">
        <v>2</v>
      </c>
      <c r="M686">
        <v>8.4</v>
      </c>
      <c r="N686" t="s">
        <v>19</v>
      </c>
    </row>
    <row r="687" spans="1:14" x14ac:dyDescent="0.3">
      <c r="A687" t="s">
        <v>720</v>
      </c>
      <c r="B687">
        <v>22</v>
      </c>
      <c r="C687" t="s">
        <v>21</v>
      </c>
      <c r="D687" t="s">
        <v>43</v>
      </c>
      <c r="E687">
        <v>2</v>
      </c>
      <c r="F687">
        <v>7.52</v>
      </c>
      <c r="G687">
        <v>5</v>
      </c>
      <c r="H687">
        <v>60.2</v>
      </c>
      <c r="I687" t="s">
        <v>27</v>
      </c>
      <c r="J687" t="s">
        <v>23</v>
      </c>
      <c r="K687">
        <v>3.2</v>
      </c>
      <c r="L687">
        <v>7</v>
      </c>
      <c r="M687">
        <v>8.8000000000000007</v>
      </c>
      <c r="N687" t="s">
        <v>19</v>
      </c>
    </row>
    <row r="688" spans="1:14" x14ac:dyDescent="0.3">
      <c r="A688" t="s">
        <v>721</v>
      </c>
      <c r="B688">
        <v>19</v>
      </c>
      <c r="C688" t="s">
        <v>15</v>
      </c>
      <c r="D688" t="s">
        <v>43</v>
      </c>
      <c r="E688">
        <v>3</v>
      </c>
      <c r="F688">
        <v>6.62</v>
      </c>
      <c r="G688">
        <v>6</v>
      </c>
      <c r="H688">
        <v>61.3</v>
      </c>
      <c r="I688" t="s">
        <v>27</v>
      </c>
      <c r="J688" t="s">
        <v>54</v>
      </c>
      <c r="K688">
        <v>0.2</v>
      </c>
      <c r="L688">
        <v>10</v>
      </c>
      <c r="M688">
        <v>5.5</v>
      </c>
      <c r="N688" t="s">
        <v>19</v>
      </c>
    </row>
    <row r="689" spans="1:14" x14ac:dyDescent="0.3">
      <c r="A689" t="s">
        <v>722</v>
      </c>
      <c r="B689">
        <v>18</v>
      </c>
      <c r="C689" t="s">
        <v>15</v>
      </c>
      <c r="D689" t="s">
        <v>48</v>
      </c>
      <c r="E689">
        <v>1</v>
      </c>
      <c r="F689">
        <v>9.0299999999999994</v>
      </c>
      <c r="G689">
        <v>5</v>
      </c>
      <c r="H689">
        <v>69.099999999999994</v>
      </c>
      <c r="I689" t="s">
        <v>17</v>
      </c>
      <c r="J689" t="s">
        <v>23</v>
      </c>
      <c r="K689">
        <v>8.6</v>
      </c>
      <c r="L689">
        <v>3</v>
      </c>
      <c r="M689">
        <v>4.2</v>
      </c>
      <c r="N689" t="s">
        <v>24</v>
      </c>
    </row>
    <row r="690" spans="1:14" x14ac:dyDescent="0.3">
      <c r="A690" t="s">
        <v>723</v>
      </c>
      <c r="B690">
        <v>24</v>
      </c>
      <c r="C690" t="s">
        <v>15</v>
      </c>
      <c r="D690" t="s">
        <v>32</v>
      </c>
      <c r="E690">
        <v>3</v>
      </c>
      <c r="F690">
        <v>9.6199999999999992</v>
      </c>
      <c r="G690">
        <v>5</v>
      </c>
      <c r="H690">
        <v>98.2</v>
      </c>
      <c r="I690" t="s">
        <v>27</v>
      </c>
      <c r="J690" t="s">
        <v>18</v>
      </c>
      <c r="K690">
        <v>6.3</v>
      </c>
      <c r="L690">
        <v>8</v>
      </c>
      <c r="M690">
        <v>5.6</v>
      </c>
      <c r="N690" t="s">
        <v>19</v>
      </c>
    </row>
    <row r="691" spans="1:14" x14ac:dyDescent="0.3">
      <c r="A691" t="s">
        <v>724</v>
      </c>
      <c r="B691">
        <v>17</v>
      </c>
      <c r="C691" t="s">
        <v>21</v>
      </c>
      <c r="D691" t="s">
        <v>29</v>
      </c>
      <c r="E691">
        <v>2</v>
      </c>
      <c r="F691">
        <v>7.56</v>
      </c>
      <c r="G691">
        <v>3</v>
      </c>
      <c r="H691">
        <v>83.8</v>
      </c>
      <c r="I691" t="s">
        <v>17</v>
      </c>
      <c r="J691" t="s">
        <v>18</v>
      </c>
      <c r="K691">
        <v>8</v>
      </c>
      <c r="L691">
        <v>5</v>
      </c>
      <c r="M691">
        <v>4.8</v>
      </c>
      <c r="N691" t="s">
        <v>19</v>
      </c>
    </row>
    <row r="692" spans="1:14" x14ac:dyDescent="0.3">
      <c r="A692" t="s">
        <v>725</v>
      </c>
      <c r="B692">
        <v>23</v>
      </c>
      <c r="C692" t="s">
        <v>15</v>
      </c>
      <c r="D692" t="s">
        <v>16</v>
      </c>
      <c r="E692">
        <v>3</v>
      </c>
      <c r="F692">
        <v>5.19</v>
      </c>
      <c r="G692">
        <v>4</v>
      </c>
      <c r="H692">
        <v>69.099999999999994</v>
      </c>
      <c r="I692" t="s">
        <v>27</v>
      </c>
      <c r="J692" t="s">
        <v>23</v>
      </c>
      <c r="K692">
        <v>3.6</v>
      </c>
      <c r="L692">
        <v>8</v>
      </c>
      <c r="M692">
        <v>5.3</v>
      </c>
      <c r="N692" t="s">
        <v>19</v>
      </c>
    </row>
    <row r="693" spans="1:14" x14ac:dyDescent="0.3">
      <c r="A693" t="s">
        <v>726</v>
      </c>
      <c r="B693">
        <v>27</v>
      </c>
      <c r="C693" t="s">
        <v>15</v>
      </c>
      <c r="D693" t="s">
        <v>32</v>
      </c>
      <c r="E693">
        <v>2</v>
      </c>
      <c r="F693">
        <v>7.73</v>
      </c>
      <c r="G693">
        <v>6</v>
      </c>
      <c r="H693">
        <v>69.2</v>
      </c>
      <c r="I693" t="s">
        <v>30</v>
      </c>
      <c r="J693" t="s">
        <v>23</v>
      </c>
      <c r="K693">
        <v>8.5</v>
      </c>
      <c r="L693">
        <v>2</v>
      </c>
      <c r="M693">
        <v>3.7</v>
      </c>
      <c r="N693" t="s">
        <v>24</v>
      </c>
    </row>
    <row r="694" spans="1:14" x14ac:dyDescent="0.3">
      <c r="A694" t="s">
        <v>727</v>
      </c>
      <c r="B694">
        <v>27</v>
      </c>
      <c r="C694" t="s">
        <v>15</v>
      </c>
      <c r="D694" t="s">
        <v>16</v>
      </c>
      <c r="E694">
        <v>2</v>
      </c>
      <c r="F694">
        <v>5.46</v>
      </c>
      <c r="G694">
        <v>2</v>
      </c>
      <c r="H694">
        <v>91.9</v>
      </c>
      <c r="I694" t="s">
        <v>17</v>
      </c>
      <c r="J694" t="s">
        <v>23</v>
      </c>
      <c r="K694">
        <v>4.4000000000000004</v>
      </c>
      <c r="L694">
        <v>9</v>
      </c>
      <c r="M694">
        <v>5.3</v>
      </c>
      <c r="N694" t="s">
        <v>24</v>
      </c>
    </row>
    <row r="695" spans="1:14" x14ac:dyDescent="0.3">
      <c r="A695" t="s">
        <v>728</v>
      </c>
      <c r="B695">
        <v>19</v>
      </c>
      <c r="C695" t="s">
        <v>21</v>
      </c>
      <c r="D695" t="s">
        <v>37</v>
      </c>
      <c r="E695">
        <v>3</v>
      </c>
      <c r="F695">
        <v>9.3699999999999992</v>
      </c>
      <c r="G695">
        <v>3</v>
      </c>
      <c r="H695">
        <v>66.3</v>
      </c>
      <c r="I695" t="s">
        <v>30</v>
      </c>
      <c r="J695" t="s">
        <v>23</v>
      </c>
      <c r="K695">
        <v>2.4</v>
      </c>
      <c r="L695">
        <v>1</v>
      </c>
      <c r="M695">
        <v>7.6</v>
      </c>
      <c r="N695" t="s">
        <v>24</v>
      </c>
    </row>
    <row r="696" spans="1:14" x14ac:dyDescent="0.3">
      <c r="A696" t="s">
        <v>729</v>
      </c>
      <c r="B696">
        <v>18</v>
      </c>
      <c r="C696" t="s">
        <v>15</v>
      </c>
      <c r="D696" t="s">
        <v>48</v>
      </c>
      <c r="E696">
        <v>3</v>
      </c>
      <c r="F696">
        <v>8.16</v>
      </c>
      <c r="G696">
        <v>3</v>
      </c>
      <c r="H696">
        <v>55.7</v>
      </c>
      <c r="I696" t="s">
        <v>30</v>
      </c>
      <c r="J696" t="s">
        <v>23</v>
      </c>
      <c r="K696">
        <v>0.3</v>
      </c>
      <c r="L696">
        <v>8</v>
      </c>
      <c r="M696">
        <v>8.9</v>
      </c>
      <c r="N696" t="s">
        <v>19</v>
      </c>
    </row>
    <row r="697" spans="1:14" x14ac:dyDescent="0.3">
      <c r="A697" t="s">
        <v>730</v>
      </c>
      <c r="B697">
        <v>24</v>
      </c>
      <c r="C697" t="s">
        <v>15</v>
      </c>
      <c r="D697" t="s">
        <v>22</v>
      </c>
      <c r="E697">
        <v>2</v>
      </c>
      <c r="F697">
        <v>5.28</v>
      </c>
      <c r="G697">
        <v>3</v>
      </c>
      <c r="H697">
        <v>78</v>
      </c>
      <c r="I697" t="s">
        <v>27</v>
      </c>
      <c r="J697" t="s">
        <v>35</v>
      </c>
      <c r="K697">
        <v>8.1999999999999993</v>
      </c>
      <c r="L697">
        <v>2</v>
      </c>
      <c r="M697">
        <v>9.6</v>
      </c>
      <c r="N697" t="s">
        <v>24</v>
      </c>
    </row>
    <row r="698" spans="1:14" x14ac:dyDescent="0.3">
      <c r="A698" t="s">
        <v>731</v>
      </c>
      <c r="B698">
        <v>23</v>
      </c>
      <c r="C698" t="s">
        <v>15</v>
      </c>
      <c r="D698" t="s">
        <v>22</v>
      </c>
      <c r="E698">
        <v>1</v>
      </c>
      <c r="F698">
        <v>4.8</v>
      </c>
      <c r="G698">
        <v>4</v>
      </c>
      <c r="H698">
        <v>54.4</v>
      </c>
      <c r="I698" t="s">
        <v>27</v>
      </c>
      <c r="J698" t="s">
        <v>23</v>
      </c>
      <c r="K698">
        <v>6.8</v>
      </c>
      <c r="L698">
        <v>5</v>
      </c>
      <c r="M698">
        <v>6.6</v>
      </c>
      <c r="N698" t="s">
        <v>19</v>
      </c>
    </row>
    <row r="699" spans="1:14" x14ac:dyDescent="0.3">
      <c r="A699" t="s">
        <v>732</v>
      </c>
      <c r="B699">
        <v>23</v>
      </c>
      <c r="C699" t="s">
        <v>21</v>
      </c>
      <c r="D699" t="s">
        <v>16</v>
      </c>
      <c r="E699">
        <v>1</v>
      </c>
      <c r="F699">
        <v>5.44</v>
      </c>
      <c r="G699">
        <v>2</v>
      </c>
      <c r="H699">
        <v>59.4</v>
      </c>
      <c r="I699" t="s">
        <v>27</v>
      </c>
      <c r="J699" t="s">
        <v>23</v>
      </c>
      <c r="K699">
        <v>1.3</v>
      </c>
      <c r="L699">
        <v>3</v>
      </c>
      <c r="M699">
        <v>9.4</v>
      </c>
      <c r="N699" t="s">
        <v>24</v>
      </c>
    </row>
    <row r="700" spans="1:14" x14ac:dyDescent="0.3">
      <c r="A700" t="s">
        <v>733</v>
      </c>
      <c r="B700">
        <v>25</v>
      </c>
      <c r="C700" t="s">
        <v>15</v>
      </c>
      <c r="D700" t="s">
        <v>32</v>
      </c>
      <c r="E700">
        <v>1</v>
      </c>
      <c r="F700">
        <v>7.43</v>
      </c>
      <c r="G700">
        <v>7</v>
      </c>
      <c r="H700">
        <v>86.8</v>
      </c>
      <c r="I700" t="s">
        <v>27</v>
      </c>
      <c r="J700" t="s">
        <v>33</v>
      </c>
      <c r="K700">
        <v>1.1000000000000001</v>
      </c>
      <c r="L700">
        <v>3</v>
      </c>
      <c r="M700">
        <v>7.6</v>
      </c>
      <c r="N700" t="s">
        <v>19</v>
      </c>
    </row>
    <row r="701" spans="1:14" x14ac:dyDescent="0.3">
      <c r="A701" t="s">
        <v>734</v>
      </c>
      <c r="B701">
        <v>20</v>
      </c>
      <c r="C701" t="s">
        <v>21</v>
      </c>
      <c r="D701" t="s">
        <v>37</v>
      </c>
      <c r="E701">
        <v>1</v>
      </c>
      <c r="F701">
        <v>9.6199999999999992</v>
      </c>
      <c r="G701">
        <v>8</v>
      </c>
      <c r="H701">
        <v>88.3</v>
      </c>
      <c r="I701" t="s">
        <v>27</v>
      </c>
      <c r="J701" t="s">
        <v>18</v>
      </c>
      <c r="K701">
        <v>8.1999999999999993</v>
      </c>
      <c r="L701">
        <v>1</v>
      </c>
      <c r="M701">
        <v>3.6</v>
      </c>
      <c r="N701" t="s">
        <v>19</v>
      </c>
    </row>
    <row r="702" spans="1:14" x14ac:dyDescent="0.3">
      <c r="A702" t="s">
        <v>735</v>
      </c>
      <c r="B702">
        <v>23</v>
      </c>
      <c r="C702" t="s">
        <v>15</v>
      </c>
      <c r="D702" t="s">
        <v>22</v>
      </c>
      <c r="E702">
        <v>1</v>
      </c>
      <c r="F702">
        <v>9.4700000000000006</v>
      </c>
      <c r="G702">
        <v>3</v>
      </c>
      <c r="H702">
        <v>97.3</v>
      </c>
      <c r="I702" t="s">
        <v>17</v>
      </c>
      <c r="J702" t="s">
        <v>18</v>
      </c>
      <c r="K702">
        <v>5.6</v>
      </c>
      <c r="L702">
        <v>6</v>
      </c>
      <c r="M702">
        <v>9.8000000000000007</v>
      </c>
      <c r="N702" t="s">
        <v>19</v>
      </c>
    </row>
    <row r="703" spans="1:14" x14ac:dyDescent="0.3">
      <c r="A703" t="s">
        <v>736</v>
      </c>
      <c r="B703">
        <v>21</v>
      </c>
      <c r="C703" t="s">
        <v>15</v>
      </c>
      <c r="D703" t="s">
        <v>37</v>
      </c>
      <c r="E703">
        <v>2</v>
      </c>
      <c r="F703">
        <v>4.8600000000000003</v>
      </c>
      <c r="G703">
        <v>8</v>
      </c>
      <c r="H703">
        <v>98.9</v>
      </c>
      <c r="I703" t="s">
        <v>17</v>
      </c>
      <c r="J703" t="s">
        <v>23</v>
      </c>
      <c r="K703">
        <v>3.6</v>
      </c>
      <c r="L703">
        <v>6</v>
      </c>
      <c r="M703">
        <v>3.9</v>
      </c>
      <c r="N703" t="s">
        <v>19</v>
      </c>
    </row>
    <row r="704" spans="1:14" x14ac:dyDescent="0.3">
      <c r="A704" t="s">
        <v>737</v>
      </c>
      <c r="B704">
        <v>20</v>
      </c>
      <c r="C704" t="s">
        <v>21</v>
      </c>
      <c r="D704" t="s">
        <v>39</v>
      </c>
      <c r="E704">
        <v>2</v>
      </c>
      <c r="F704">
        <v>4.3099999999999996</v>
      </c>
      <c r="G704">
        <v>4</v>
      </c>
      <c r="H704">
        <v>86.3</v>
      </c>
      <c r="I704" t="s">
        <v>30</v>
      </c>
      <c r="J704" t="s">
        <v>33</v>
      </c>
      <c r="K704">
        <v>1.4</v>
      </c>
      <c r="L704">
        <v>4</v>
      </c>
      <c r="M704">
        <v>3.6</v>
      </c>
      <c r="N704" t="s">
        <v>19</v>
      </c>
    </row>
    <row r="705" spans="1:14" x14ac:dyDescent="0.3">
      <c r="A705" t="s">
        <v>738</v>
      </c>
      <c r="B705">
        <v>20</v>
      </c>
      <c r="C705" t="s">
        <v>15</v>
      </c>
      <c r="D705" t="s">
        <v>29</v>
      </c>
      <c r="E705">
        <v>1</v>
      </c>
      <c r="F705">
        <v>9.01</v>
      </c>
      <c r="G705">
        <v>7</v>
      </c>
      <c r="H705">
        <v>66.900000000000006</v>
      </c>
      <c r="I705" t="s">
        <v>27</v>
      </c>
      <c r="J705" t="s">
        <v>33</v>
      </c>
      <c r="K705">
        <v>5.7</v>
      </c>
      <c r="L705">
        <v>2</v>
      </c>
      <c r="M705">
        <v>5.0999999999999996</v>
      </c>
      <c r="N705" t="s">
        <v>24</v>
      </c>
    </row>
    <row r="706" spans="1:14" x14ac:dyDescent="0.3">
      <c r="A706" t="s">
        <v>739</v>
      </c>
      <c r="B706">
        <v>24</v>
      </c>
      <c r="C706" t="s">
        <v>21</v>
      </c>
      <c r="D706" t="s">
        <v>37</v>
      </c>
      <c r="E706">
        <v>2</v>
      </c>
      <c r="F706">
        <v>7.77</v>
      </c>
      <c r="G706">
        <v>6</v>
      </c>
      <c r="H706">
        <v>68.900000000000006</v>
      </c>
      <c r="I706" t="s">
        <v>17</v>
      </c>
      <c r="J706" t="s">
        <v>54</v>
      </c>
      <c r="K706">
        <v>1.3</v>
      </c>
      <c r="L706">
        <v>7</v>
      </c>
      <c r="M706">
        <v>9.9</v>
      </c>
      <c r="N706" t="s">
        <v>24</v>
      </c>
    </row>
    <row r="707" spans="1:14" x14ac:dyDescent="0.3">
      <c r="A707" t="s">
        <v>740</v>
      </c>
      <c r="B707">
        <v>26</v>
      </c>
      <c r="C707" t="s">
        <v>15</v>
      </c>
      <c r="D707" t="s">
        <v>32</v>
      </c>
      <c r="E707">
        <v>4</v>
      </c>
      <c r="F707">
        <v>6.9</v>
      </c>
      <c r="G707">
        <v>4</v>
      </c>
      <c r="H707">
        <v>64.099999999999994</v>
      </c>
      <c r="I707" t="s">
        <v>27</v>
      </c>
      <c r="J707" t="s">
        <v>33</v>
      </c>
      <c r="K707">
        <v>2.1</v>
      </c>
      <c r="L707">
        <v>3</v>
      </c>
      <c r="M707">
        <v>8.6</v>
      </c>
      <c r="N707" t="s">
        <v>24</v>
      </c>
    </row>
    <row r="708" spans="1:14" x14ac:dyDescent="0.3">
      <c r="A708" t="s">
        <v>741</v>
      </c>
      <c r="B708">
        <v>24</v>
      </c>
      <c r="C708" t="s">
        <v>15</v>
      </c>
      <c r="D708" t="s">
        <v>32</v>
      </c>
      <c r="E708">
        <v>2</v>
      </c>
      <c r="F708">
        <v>5.88</v>
      </c>
      <c r="G708">
        <v>7</v>
      </c>
      <c r="H708">
        <v>70.5</v>
      </c>
      <c r="I708" t="s">
        <v>30</v>
      </c>
      <c r="J708" t="s">
        <v>35</v>
      </c>
      <c r="K708">
        <v>4.8</v>
      </c>
      <c r="L708">
        <v>3</v>
      </c>
      <c r="M708">
        <v>6.4</v>
      </c>
      <c r="N708" t="s">
        <v>19</v>
      </c>
    </row>
    <row r="709" spans="1:14" x14ac:dyDescent="0.3">
      <c r="A709" t="s">
        <v>742</v>
      </c>
      <c r="B709">
        <v>21</v>
      </c>
      <c r="C709" t="s">
        <v>15</v>
      </c>
      <c r="D709" t="s">
        <v>26</v>
      </c>
      <c r="E709">
        <v>2</v>
      </c>
      <c r="F709">
        <v>5.73</v>
      </c>
      <c r="G709">
        <v>5</v>
      </c>
      <c r="H709">
        <v>50.8</v>
      </c>
      <c r="I709" t="s">
        <v>27</v>
      </c>
      <c r="J709" t="s">
        <v>54</v>
      </c>
      <c r="K709">
        <v>6.9</v>
      </c>
      <c r="L709">
        <v>1</v>
      </c>
      <c r="M709">
        <v>7.1</v>
      </c>
      <c r="N709" t="s">
        <v>24</v>
      </c>
    </row>
    <row r="710" spans="1:14" x14ac:dyDescent="0.3">
      <c r="A710" t="s">
        <v>743</v>
      </c>
      <c r="B710">
        <v>26</v>
      </c>
      <c r="C710" t="s">
        <v>21</v>
      </c>
      <c r="D710" t="s">
        <v>37</v>
      </c>
      <c r="E710">
        <v>2</v>
      </c>
      <c r="F710">
        <v>8.4499999999999993</v>
      </c>
      <c r="G710">
        <v>6</v>
      </c>
      <c r="H710">
        <v>70.900000000000006</v>
      </c>
      <c r="I710" t="s">
        <v>30</v>
      </c>
      <c r="J710" t="s">
        <v>23</v>
      </c>
      <c r="K710">
        <v>1.3</v>
      </c>
      <c r="L710">
        <v>1</v>
      </c>
      <c r="M710">
        <v>8.9</v>
      </c>
      <c r="N710" t="s">
        <v>19</v>
      </c>
    </row>
    <row r="711" spans="1:14" x14ac:dyDescent="0.3">
      <c r="A711" t="s">
        <v>744</v>
      </c>
      <c r="B711">
        <v>17</v>
      </c>
      <c r="C711" t="s">
        <v>21</v>
      </c>
      <c r="D711" t="s">
        <v>26</v>
      </c>
      <c r="E711">
        <v>2</v>
      </c>
      <c r="F711">
        <v>5.52</v>
      </c>
      <c r="G711">
        <v>5</v>
      </c>
      <c r="H711">
        <v>54.6</v>
      </c>
      <c r="I711" t="s">
        <v>27</v>
      </c>
      <c r="J711" t="s">
        <v>54</v>
      </c>
      <c r="K711">
        <v>4.8</v>
      </c>
      <c r="L711">
        <v>9</v>
      </c>
      <c r="M711">
        <v>6.3</v>
      </c>
      <c r="N711" t="s">
        <v>24</v>
      </c>
    </row>
    <row r="712" spans="1:14" x14ac:dyDescent="0.3">
      <c r="A712" t="s">
        <v>745</v>
      </c>
      <c r="B712">
        <v>23</v>
      </c>
      <c r="C712" t="s">
        <v>21</v>
      </c>
      <c r="D712" t="s">
        <v>37</v>
      </c>
      <c r="E712">
        <v>3</v>
      </c>
      <c r="F712">
        <v>8.82</v>
      </c>
      <c r="G712">
        <v>8</v>
      </c>
      <c r="H712">
        <v>68</v>
      </c>
      <c r="I712" t="s">
        <v>30</v>
      </c>
      <c r="J712" t="s">
        <v>54</v>
      </c>
      <c r="K712">
        <v>5.0999999999999996</v>
      </c>
      <c r="L712">
        <v>10</v>
      </c>
      <c r="M712">
        <v>8.4</v>
      </c>
      <c r="N712" t="s">
        <v>24</v>
      </c>
    </row>
    <row r="713" spans="1:14" x14ac:dyDescent="0.3">
      <c r="A713" t="s">
        <v>746</v>
      </c>
      <c r="B713">
        <v>26</v>
      </c>
      <c r="C713" t="s">
        <v>21</v>
      </c>
      <c r="D713" t="s">
        <v>16</v>
      </c>
      <c r="E713">
        <v>3</v>
      </c>
      <c r="F713">
        <v>8.15</v>
      </c>
      <c r="G713">
        <v>7</v>
      </c>
      <c r="H713">
        <v>65.5</v>
      </c>
      <c r="I713" t="s">
        <v>30</v>
      </c>
      <c r="J713" t="s">
        <v>35</v>
      </c>
      <c r="K713">
        <v>6</v>
      </c>
      <c r="L713">
        <v>8</v>
      </c>
      <c r="M713">
        <v>7.4</v>
      </c>
      <c r="N713" t="s">
        <v>24</v>
      </c>
    </row>
    <row r="714" spans="1:14" x14ac:dyDescent="0.3">
      <c r="A714" t="s">
        <v>747</v>
      </c>
      <c r="B714">
        <v>25</v>
      </c>
      <c r="C714" t="s">
        <v>21</v>
      </c>
      <c r="D714" t="s">
        <v>43</v>
      </c>
      <c r="E714">
        <v>3</v>
      </c>
      <c r="F714">
        <v>9.4</v>
      </c>
      <c r="G714">
        <v>7</v>
      </c>
      <c r="H714">
        <v>64.7</v>
      </c>
      <c r="I714" t="s">
        <v>17</v>
      </c>
      <c r="J714" t="s">
        <v>18</v>
      </c>
      <c r="K714">
        <v>4.5</v>
      </c>
      <c r="L714">
        <v>7</v>
      </c>
      <c r="M714">
        <v>7.4</v>
      </c>
      <c r="N714" t="s">
        <v>19</v>
      </c>
    </row>
    <row r="715" spans="1:14" x14ac:dyDescent="0.3">
      <c r="A715" t="s">
        <v>748</v>
      </c>
      <c r="B715">
        <v>18</v>
      </c>
      <c r="C715" t="s">
        <v>15</v>
      </c>
      <c r="D715" t="s">
        <v>48</v>
      </c>
      <c r="E715">
        <v>3</v>
      </c>
      <c r="F715">
        <v>6.29</v>
      </c>
      <c r="G715">
        <v>4</v>
      </c>
      <c r="H715">
        <v>91.3</v>
      </c>
      <c r="I715" t="s">
        <v>27</v>
      </c>
      <c r="J715" t="s">
        <v>33</v>
      </c>
      <c r="K715">
        <v>7.3</v>
      </c>
      <c r="L715">
        <v>3</v>
      </c>
      <c r="M715">
        <v>5</v>
      </c>
      <c r="N715" t="s">
        <v>19</v>
      </c>
    </row>
    <row r="716" spans="1:14" x14ac:dyDescent="0.3">
      <c r="A716" t="s">
        <v>749</v>
      </c>
      <c r="B716">
        <v>26</v>
      </c>
      <c r="C716" t="s">
        <v>15</v>
      </c>
      <c r="D716" t="s">
        <v>16</v>
      </c>
      <c r="E716">
        <v>2</v>
      </c>
      <c r="F716">
        <v>7.13</v>
      </c>
      <c r="G716">
        <v>8</v>
      </c>
      <c r="H716">
        <v>74.900000000000006</v>
      </c>
      <c r="I716" t="s">
        <v>27</v>
      </c>
      <c r="J716" t="s">
        <v>18</v>
      </c>
      <c r="K716">
        <v>3.5</v>
      </c>
      <c r="L716">
        <v>1</v>
      </c>
      <c r="M716">
        <v>6.6</v>
      </c>
      <c r="N716" t="s">
        <v>24</v>
      </c>
    </row>
    <row r="717" spans="1:14" x14ac:dyDescent="0.3">
      <c r="A717" t="s">
        <v>750</v>
      </c>
      <c r="B717">
        <v>26</v>
      </c>
      <c r="C717" t="s">
        <v>15</v>
      </c>
      <c r="D717" t="s">
        <v>39</v>
      </c>
      <c r="E717">
        <v>3</v>
      </c>
      <c r="F717">
        <v>8.0299999999999994</v>
      </c>
      <c r="G717">
        <v>3</v>
      </c>
      <c r="H717">
        <v>69.400000000000006</v>
      </c>
      <c r="I717" t="s">
        <v>17</v>
      </c>
      <c r="J717" t="s">
        <v>23</v>
      </c>
      <c r="K717">
        <v>4.7</v>
      </c>
      <c r="L717">
        <v>8</v>
      </c>
      <c r="M717">
        <v>8.4</v>
      </c>
      <c r="N717" t="s">
        <v>24</v>
      </c>
    </row>
    <row r="718" spans="1:14" x14ac:dyDescent="0.3">
      <c r="A718" t="s">
        <v>751</v>
      </c>
      <c r="B718">
        <v>27</v>
      </c>
      <c r="C718" t="s">
        <v>15</v>
      </c>
      <c r="D718" t="s">
        <v>39</v>
      </c>
      <c r="E718">
        <v>3</v>
      </c>
      <c r="F718">
        <v>5.97</v>
      </c>
      <c r="G718">
        <v>9</v>
      </c>
      <c r="H718">
        <v>82.3</v>
      </c>
      <c r="I718" t="s">
        <v>30</v>
      </c>
      <c r="J718" t="s">
        <v>35</v>
      </c>
      <c r="K718">
        <v>3.8</v>
      </c>
      <c r="L718">
        <v>4</v>
      </c>
      <c r="M718">
        <v>8.1</v>
      </c>
      <c r="N718" t="s">
        <v>24</v>
      </c>
    </row>
    <row r="719" spans="1:14" x14ac:dyDescent="0.3">
      <c r="A719" t="s">
        <v>752</v>
      </c>
      <c r="B719">
        <v>20</v>
      </c>
      <c r="C719" t="s">
        <v>15</v>
      </c>
      <c r="D719" t="s">
        <v>43</v>
      </c>
      <c r="E719">
        <v>3</v>
      </c>
      <c r="F719">
        <v>6.8</v>
      </c>
      <c r="G719">
        <v>6</v>
      </c>
      <c r="H719">
        <v>79.8</v>
      </c>
      <c r="I719" t="s">
        <v>17</v>
      </c>
      <c r="J719" t="s">
        <v>33</v>
      </c>
      <c r="K719">
        <v>4</v>
      </c>
      <c r="L719">
        <v>8</v>
      </c>
      <c r="M719">
        <v>7.1</v>
      </c>
      <c r="N719" t="s">
        <v>24</v>
      </c>
    </row>
    <row r="720" spans="1:14" x14ac:dyDescent="0.3">
      <c r="A720" t="s">
        <v>753</v>
      </c>
      <c r="B720">
        <v>26</v>
      </c>
      <c r="C720" t="s">
        <v>15</v>
      </c>
      <c r="D720" t="s">
        <v>16</v>
      </c>
      <c r="E720">
        <v>2</v>
      </c>
      <c r="F720">
        <v>5.41</v>
      </c>
      <c r="G720">
        <v>5</v>
      </c>
      <c r="H720">
        <v>91.4</v>
      </c>
      <c r="I720" t="s">
        <v>27</v>
      </c>
      <c r="J720" t="s">
        <v>23</v>
      </c>
      <c r="K720">
        <v>1.9</v>
      </c>
      <c r="L720">
        <v>1</v>
      </c>
      <c r="M720">
        <v>3.9</v>
      </c>
      <c r="N720" t="s">
        <v>24</v>
      </c>
    </row>
    <row r="721" spans="1:14" x14ac:dyDescent="0.3">
      <c r="A721" t="s">
        <v>754</v>
      </c>
      <c r="B721">
        <v>17</v>
      </c>
      <c r="C721" t="s">
        <v>15</v>
      </c>
      <c r="D721" t="s">
        <v>48</v>
      </c>
      <c r="E721">
        <v>2</v>
      </c>
      <c r="F721">
        <v>6.3</v>
      </c>
      <c r="G721">
        <v>10</v>
      </c>
      <c r="H721">
        <v>90.2</v>
      </c>
      <c r="I721" t="s">
        <v>30</v>
      </c>
      <c r="J721" t="s">
        <v>23</v>
      </c>
      <c r="K721">
        <v>1.7</v>
      </c>
      <c r="L721">
        <v>4</v>
      </c>
      <c r="M721">
        <v>3.7</v>
      </c>
      <c r="N721" t="s">
        <v>19</v>
      </c>
    </row>
    <row r="722" spans="1:14" x14ac:dyDescent="0.3">
      <c r="A722" t="s">
        <v>755</v>
      </c>
      <c r="B722">
        <v>19</v>
      </c>
      <c r="C722" t="s">
        <v>21</v>
      </c>
      <c r="D722" t="s">
        <v>16</v>
      </c>
      <c r="E722">
        <v>1</v>
      </c>
      <c r="F722">
        <v>9.86</v>
      </c>
      <c r="G722">
        <v>2</v>
      </c>
      <c r="H722">
        <v>72.599999999999994</v>
      </c>
      <c r="I722" t="s">
        <v>17</v>
      </c>
      <c r="J722" t="s">
        <v>33</v>
      </c>
      <c r="K722">
        <v>3.8</v>
      </c>
      <c r="L722">
        <v>5</v>
      </c>
      <c r="M722">
        <v>4.3</v>
      </c>
      <c r="N722" t="s">
        <v>24</v>
      </c>
    </row>
    <row r="723" spans="1:14" x14ac:dyDescent="0.3">
      <c r="A723" t="s">
        <v>756</v>
      </c>
      <c r="B723">
        <v>27</v>
      </c>
      <c r="C723" t="s">
        <v>15</v>
      </c>
      <c r="D723" t="s">
        <v>48</v>
      </c>
      <c r="E723">
        <v>3</v>
      </c>
      <c r="F723">
        <v>9.85</v>
      </c>
      <c r="G723">
        <v>4</v>
      </c>
      <c r="H723">
        <v>81.099999999999994</v>
      </c>
      <c r="I723" t="s">
        <v>17</v>
      </c>
      <c r="J723" t="s">
        <v>54</v>
      </c>
      <c r="K723">
        <v>4.5999999999999996</v>
      </c>
      <c r="L723">
        <v>1</v>
      </c>
      <c r="M723">
        <v>8.9</v>
      </c>
      <c r="N723" t="s">
        <v>19</v>
      </c>
    </row>
    <row r="724" spans="1:14" x14ac:dyDescent="0.3">
      <c r="A724" t="s">
        <v>757</v>
      </c>
      <c r="B724">
        <v>19</v>
      </c>
      <c r="C724" t="s">
        <v>15</v>
      </c>
      <c r="D724" t="s">
        <v>22</v>
      </c>
      <c r="E724">
        <v>1</v>
      </c>
      <c r="F724">
        <v>6.82</v>
      </c>
      <c r="G724">
        <v>2</v>
      </c>
      <c r="H724">
        <v>60.8</v>
      </c>
      <c r="I724" t="s">
        <v>27</v>
      </c>
      <c r="J724" t="s">
        <v>18</v>
      </c>
      <c r="K724">
        <v>7</v>
      </c>
      <c r="L724">
        <v>6</v>
      </c>
      <c r="M724">
        <v>5.8</v>
      </c>
      <c r="N724" t="s">
        <v>24</v>
      </c>
    </row>
    <row r="725" spans="1:14" x14ac:dyDescent="0.3">
      <c r="A725" t="s">
        <v>758</v>
      </c>
      <c r="B725">
        <v>21</v>
      </c>
      <c r="C725" t="s">
        <v>15</v>
      </c>
      <c r="D725" t="s">
        <v>48</v>
      </c>
      <c r="E725">
        <v>2</v>
      </c>
      <c r="F725">
        <v>5.94</v>
      </c>
      <c r="G725">
        <v>8</v>
      </c>
      <c r="H725">
        <v>89.4</v>
      </c>
      <c r="I725" t="s">
        <v>17</v>
      </c>
      <c r="J725" t="s">
        <v>33</v>
      </c>
      <c r="K725">
        <v>0.6</v>
      </c>
      <c r="L725">
        <v>4</v>
      </c>
      <c r="M725">
        <v>8.9</v>
      </c>
      <c r="N725" t="s">
        <v>19</v>
      </c>
    </row>
    <row r="726" spans="1:14" x14ac:dyDescent="0.3">
      <c r="A726" t="s">
        <v>759</v>
      </c>
      <c r="B726">
        <v>19</v>
      </c>
      <c r="C726" t="s">
        <v>15</v>
      </c>
      <c r="D726" t="s">
        <v>39</v>
      </c>
      <c r="E726">
        <v>3</v>
      </c>
      <c r="F726">
        <v>4.42</v>
      </c>
      <c r="G726">
        <v>4</v>
      </c>
      <c r="H726">
        <v>67.099999999999994</v>
      </c>
      <c r="I726" t="s">
        <v>17</v>
      </c>
      <c r="J726" t="s">
        <v>33</v>
      </c>
      <c r="K726">
        <v>2.2000000000000002</v>
      </c>
      <c r="L726">
        <v>7</v>
      </c>
      <c r="M726">
        <v>7.8</v>
      </c>
      <c r="N726" t="s">
        <v>24</v>
      </c>
    </row>
    <row r="727" spans="1:14" x14ac:dyDescent="0.3">
      <c r="A727" t="s">
        <v>760</v>
      </c>
      <c r="B727">
        <v>25</v>
      </c>
      <c r="C727" t="s">
        <v>21</v>
      </c>
      <c r="D727" t="s">
        <v>48</v>
      </c>
      <c r="E727">
        <v>3</v>
      </c>
      <c r="F727">
        <v>5.5</v>
      </c>
      <c r="G727">
        <v>10</v>
      </c>
      <c r="H727">
        <v>98.3</v>
      </c>
      <c r="I727" t="s">
        <v>30</v>
      </c>
      <c r="J727" t="s">
        <v>35</v>
      </c>
      <c r="K727">
        <v>1.5</v>
      </c>
      <c r="L727">
        <v>8</v>
      </c>
      <c r="M727">
        <v>8.6</v>
      </c>
      <c r="N727" t="s">
        <v>24</v>
      </c>
    </row>
    <row r="728" spans="1:14" x14ac:dyDescent="0.3">
      <c r="A728" t="s">
        <v>761</v>
      </c>
      <c r="B728">
        <v>19</v>
      </c>
      <c r="C728" t="s">
        <v>15</v>
      </c>
      <c r="D728" t="s">
        <v>29</v>
      </c>
      <c r="E728">
        <v>2</v>
      </c>
      <c r="F728">
        <v>9.52</v>
      </c>
      <c r="G728">
        <v>7</v>
      </c>
      <c r="H728">
        <v>59.7</v>
      </c>
      <c r="I728" t="s">
        <v>27</v>
      </c>
      <c r="J728" t="s">
        <v>54</v>
      </c>
      <c r="K728">
        <v>6.9</v>
      </c>
      <c r="L728">
        <v>7</v>
      </c>
      <c r="M728">
        <v>7.8</v>
      </c>
      <c r="N728" t="s">
        <v>24</v>
      </c>
    </row>
    <row r="729" spans="1:14" x14ac:dyDescent="0.3">
      <c r="A729" t="s">
        <v>762</v>
      </c>
      <c r="B729">
        <v>22</v>
      </c>
      <c r="C729" t="s">
        <v>21</v>
      </c>
      <c r="D729" t="s">
        <v>16</v>
      </c>
      <c r="E729">
        <v>2</v>
      </c>
      <c r="F729">
        <v>9.8800000000000008</v>
      </c>
      <c r="G729">
        <v>4</v>
      </c>
      <c r="H729">
        <v>85.7</v>
      </c>
      <c r="I729" t="s">
        <v>30</v>
      </c>
      <c r="J729" t="s">
        <v>23</v>
      </c>
      <c r="K729">
        <v>4.7</v>
      </c>
      <c r="L729">
        <v>10</v>
      </c>
      <c r="M729">
        <v>5</v>
      </c>
      <c r="N729" t="s">
        <v>19</v>
      </c>
    </row>
    <row r="730" spans="1:14" x14ac:dyDescent="0.3">
      <c r="A730" t="s">
        <v>763</v>
      </c>
      <c r="B730">
        <v>20</v>
      </c>
      <c r="C730" t="s">
        <v>21</v>
      </c>
      <c r="D730" t="s">
        <v>39</v>
      </c>
      <c r="E730">
        <v>3</v>
      </c>
      <c r="F730">
        <v>9.68</v>
      </c>
      <c r="G730">
        <v>6</v>
      </c>
      <c r="H730">
        <v>58.5</v>
      </c>
      <c r="I730" t="s">
        <v>30</v>
      </c>
      <c r="J730" t="s">
        <v>23</v>
      </c>
      <c r="K730">
        <v>8.1999999999999993</v>
      </c>
      <c r="L730">
        <v>10</v>
      </c>
      <c r="M730">
        <v>5</v>
      </c>
      <c r="N730" t="s">
        <v>19</v>
      </c>
    </row>
    <row r="731" spans="1:14" x14ac:dyDescent="0.3">
      <c r="A731" t="s">
        <v>764</v>
      </c>
      <c r="B731">
        <v>22</v>
      </c>
      <c r="C731" t="s">
        <v>15</v>
      </c>
      <c r="D731" t="s">
        <v>32</v>
      </c>
      <c r="E731">
        <v>3</v>
      </c>
      <c r="F731">
        <v>8.0399999999999991</v>
      </c>
      <c r="G731">
        <v>8</v>
      </c>
      <c r="H731">
        <v>74.7</v>
      </c>
      <c r="I731" t="s">
        <v>30</v>
      </c>
      <c r="J731" t="s">
        <v>54</v>
      </c>
      <c r="K731">
        <v>0.8</v>
      </c>
      <c r="L731">
        <v>4</v>
      </c>
      <c r="M731">
        <v>7.2</v>
      </c>
      <c r="N731" t="s">
        <v>24</v>
      </c>
    </row>
    <row r="732" spans="1:14" x14ac:dyDescent="0.3">
      <c r="A732" t="s">
        <v>765</v>
      </c>
      <c r="B732">
        <v>19</v>
      </c>
      <c r="C732" t="s">
        <v>15</v>
      </c>
      <c r="D732" t="s">
        <v>37</v>
      </c>
      <c r="E732">
        <v>1</v>
      </c>
      <c r="F732">
        <v>8.2100000000000009</v>
      </c>
      <c r="G732">
        <v>6</v>
      </c>
      <c r="H732">
        <v>73.099999999999994</v>
      </c>
      <c r="I732" t="s">
        <v>30</v>
      </c>
      <c r="J732" t="s">
        <v>18</v>
      </c>
      <c r="K732">
        <v>7.8</v>
      </c>
      <c r="L732">
        <v>2</v>
      </c>
      <c r="M732">
        <v>6.1</v>
      </c>
      <c r="N732" t="s">
        <v>24</v>
      </c>
    </row>
    <row r="733" spans="1:14" x14ac:dyDescent="0.3">
      <c r="A733" t="s">
        <v>766</v>
      </c>
      <c r="B733">
        <v>22</v>
      </c>
      <c r="C733" t="s">
        <v>21</v>
      </c>
      <c r="D733" t="s">
        <v>37</v>
      </c>
      <c r="E733">
        <v>3</v>
      </c>
      <c r="F733">
        <v>9.91</v>
      </c>
      <c r="G733">
        <v>5</v>
      </c>
      <c r="H733">
        <v>56.3</v>
      </c>
      <c r="I733" t="s">
        <v>27</v>
      </c>
      <c r="J733" t="s">
        <v>54</v>
      </c>
      <c r="K733">
        <v>7.9</v>
      </c>
      <c r="L733">
        <v>5</v>
      </c>
      <c r="M733">
        <v>5.9</v>
      </c>
      <c r="N733" t="s">
        <v>24</v>
      </c>
    </row>
    <row r="734" spans="1:14" x14ac:dyDescent="0.3">
      <c r="A734" t="s">
        <v>767</v>
      </c>
      <c r="B734">
        <v>23</v>
      </c>
      <c r="C734" t="s">
        <v>15</v>
      </c>
      <c r="D734" t="s">
        <v>39</v>
      </c>
      <c r="E734">
        <v>1</v>
      </c>
      <c r="F734">
        <v>5.64</v>
      </c>
      <c r="G734">
        <v>9</v>
      </c>
      <c r="H734">
        <v>88.7</v>
      </c>
      <c r="I734" t="s">
        <v>30</v>
      </c>
      <c r="J734" t="s">
        <v>23</v>
      </c>
      <c r="K734">
        <v>1.2</v>
      </c>
      <c r="L734">
        <v>3</v>
      </c>
      <c r="M734">
        <v>3.6</v>
      </c>
      <c r="N734" t="s">
        <v>19</v>
      </c>
    </row>
    <row r="735" spans="1:14" x14ac:dyDescent="0.3">
      <c r="A735" t="s">
        <v>768</v>
      </c>
      <c r="B735">
        <v>26</v>
      </c>
      <c r="C735" t="s">
        <v>15</v>
      </c>
      <c r="D735" t="s">
        <v>37</v>
      </c>
      <c r="E735">
        <v>1</v>
      </c>
      <c r="F735">
        <v>8.49</v>
      </c>
      <c r="G735">
        <v>10</v>
      </c>
      <c r="H735">
        <v>69.8</v>
      </c>
      <c r="I735" t="s">
        <v>17</v>
      </c>
      <c r="J735" t="s">
        <v>35</v>
      </c>
      <c r="K735">
        <v>1.6</v>
      </c>
      <c r="L735">
        <v>4</v>
      </c>
      <c r="M735">
        <v>5.4</v>
      </c>
      <c r="N735" t="s">
        <v>19</v>
      </c>
    </row>
    <row r="736" spans="1:14" x14ac:dyDescent="0.3">
      <c r="A736" t="s">
        <v>769</v>
      </c>
      <c r="B736">
        <v>24</v>
      </c>
      <c r="C736" t="s">
        <v>15</v>
      </c>
      <c r="D736" t="s">
        <v>37</v>
      </c>
      <c r="E736">
        <v>3</v>
      </c>
      <c r="F736">
        <v>4.0599999999999996</v>
      </c>
      <c r="G736">
        <v>7</v>
      </c>
      <c r="H736">
        <v>67.8</v>
      </c>
      <c r="I736" t="s">
        <v>27</v>
      </c>
      <c r="J736" t="s">
        <v>33</v>
      </c>
      <c r="K736">
        <v>0.8</v>
      </c>
      <c r="L736">
        <v>8</v>
      </c>
      <c r="M736">
        <v>4.8</v>
      </c>
      <c r="N736" t="s">
        <v>24</v>
      </c>
    </row>
    <row r="737" spans="1:14" x14ac:dyDescent="0.3">
      <c r="A737" t="s">
        <v>770</v>
      </c>
      <c r="B737">
        <v>22</v>
      </c>
      <c r="C737" t="s">
        <v>15</v>
      </c>
      <c r="D737" t="s">
        <v>22</v>
      </c>
      <c r="E737">
        <v>2</v>
      </c>
      <c r="F737">
        <v>8.01</v>
      </c>
      <c r="G737">
        <v>6</v>
      </c>
      <c r="H737">
        <v>86</v>
      </c>
      <c r="I737" t="s">
        <v>30</v>
      </c>
      <c r="J737" t="s">
        <v>23</v>
      </c>
      <c r="K737">
        <v>4</v>
      </c>
      <c r="L737">
        <v>6</v>
      </c>
      <c r="M737">
        <v>8.3000000000000007</v>
      </c>
      <c r="N737" t="s">
        <v>19</v>
      </c>
    </row>
    <row r="738" spans="1:14" x14ac:dyDescent="0.3">
      <c r="A738" t="s">
        <v>771</v>
      </c>
      <c r="B738">
        <v>20</v>
      </c>
      <c r="C738" t="s">
        <v>15</v>
      </c>
      <c r="D738" t="s">
        <v>22</v>
      </c>
      <c r="E738">
        <v>1</v>
      </c>
      <c r="F738">
        <v>5.24</v>
      </c>
      <c r="G738">
        <v>5</v>
      </c>
      <c r="H738">
        <v>72.099999999999994</v>
      </c>
      <c r="I738" t="s">
        <v>27</v>
      </c>
      <c r="J738" t="s">
        <v>23</v>
      </c>
      <c r="K738">
        <v>3.2</v>
      </c>
      <c r="L738">
        <v>1</v>
      </c>
      <c r="M738">
        <v>5.3</v>
      </c>
      <c r="N738" t="s">
        <v>19</v>
      </c>
    </row>
    <row r="739" spans="1:14" x14ac:dyDescent="0.3">
      <c r="A739" t="s">
        <v>772</v>
      </c>
      <c r="B739">
        <v>23</v>
      </c>
      <c r="C739" t="s">
        <v>21</v>
      </c>
      <c r="D739" t="s">
        <v>32</v>
      </c>
      <c r="E739">
        <v>1</v>
      </c>
      <c r="F739">
        <v>5.1100000000000003</v>
      </c>
      <c r="G739">
        <v>8</v>
      </c>
      <c r="H739">
        <v>88.3</v>
      </c>
      <c r="I739" t="s">
        <v>30</v>
      </c>
      <c r="J739" t="s">
        <v>18</v>
      </c>
      <c r="K739">
        <v>7.9</v>
      </c>
      <c r="L739">
        <v>8</v>
      </c>
      <c r="M739">
        <v>8.8000000000000007</v>
      </c>
      <c r="N739" t="s">
        <v>19</v>
      </c>
    </row>
    <row r="740" spans="1:14" x14ac:dyDescent="0.3">
      <c r="A740" t="s">
        <v>773</v>
      </c>
      <c r="B740">
        <v>21</v>
      </c>
      <c r="C740" t="s">
        <v>15</v>
      </c>
      <c r="D740" t="s">
        <v>48</v>
      </c>
      <c r="E740">
        <v>1</v>
      </c>
      <c r="F740">
        <v>8.0399999999999991</v>
      </c>
      <c r="G740">
        <v>10</v>
      </c>
      <c r="H740">
        <v>79.8</v>
      </c>
      <c r="I740" t="s">
        <v>30</v>
      </c>
      <c r="J740" t="s">
        <v>54</v>
      </c>
      <c r="K740">
        <v>3.1</v>
      </c>
      <c r="L740">
        <v>7</v>
      </c>
      <c r="M740">
        <v>7.2</v>
      </c>
      <c r="N740" t="s">
        <v>24</v>
      </c>
    </row>
    <row r="741" spans="1:14" x14ac:dyDescent="0.3">
      <c r="A741" t="s">
        <v>774</v>
      </c>
      <c r="B741">
        <v>22</v>
      </c>
      <c r="C741" t="s">
        <v>15</v>
      </c>
      <c r="D741" t="s">
        <v>29</v>
      </c>
      <c r="E741">
        <v>2</v>
      </c>
      <c r="F741">
        <v>9.24</v>
      </c>
      <c r="G741">
        <v>6</v>
      </c>
      <c r="H741">
        <v>99.3</v>
      </c>
      <c r="I741" t="s">
        <v>17</v>
      </c>
      <c r="J741" t="s">
        <v>33</v>
      </c>
      <c r="K741">
        <v>5.9</v>
      </c>
      <c r="L741">
        <v>7</v>
      </c>
      <c r="M741">
        <v>4</v>
      </c>
      <c r="N741" t="s">
        <v>19</v>
      </c>
    </row>
    <row r="742" spans="1:14" x14ac:dyDescent="0.3">
      <c r="A742" t="s">
        <v>775</v>
      </c>
      <c r="B742">
        <v>20</v>
      </c>
      <c r="C742" t="s">
        <v>15</v>
      </c>
      <c r="D742" t="s">
        <v>39</v>
      </c>
      <c r="E742">
        <v>1</v>
      </c>
      <c r="F742">
        <v>6.91</v>
      </c>
      <c r="G742">
        <v>10</v>
      </c>
      <c r="H742">
        <v>76.599999999999994</v>
      </c>
      <c r="I742" t="s">
        <v>30</v>
      </c>
      <c r="J742" t="s">
        <v>35</v>
      </c>
      <c r="K742">
        <v>1.4</v>
      </c>
      <c r="L742">
        <v>1</v>
      </c>
      <c r="M742">
        <v>7.8</v>
      </c>
      <c r="N742" t="s">
        <v>24</v>
      </c>
    </row>
    <row r="743" spans="1:14" x14ac:dyDescent="0.3">
      <c r="A743" t="s">
        <v>776</v>
      </c>
      <c r="B743">
        <v>18</v>
      </c>
      <c r="C743" t="s">
        <v>15</v>
      </c>
      <c r="D743" t="s">
        <v>26</v>
      </c>
      <c r="E743">
        <v>1</v>
      </c>
      <c r="F743">
        <v>4.8499999999999996</v>
      </c>
      <c r="G743">
        <v>7</v>
      </c>
      <c r="H743">
        <v>61.6</v>
      </c>
      <c r="I743" t="s">
        <v>17</v>
      </c>
      <c r="J743" t="s">
        <v>35</v>
      </c>
      <c r="K743">
        <v>6.5</v>
      </c>
      <c r="L743">
        <v>8</v>
      </c>
      <c r="M743">
        <v>8.6999999999999993</v>
      </c>
      <c r="N743" t="s">
        <v>19</v>
      </c>
    </row>
    <row r="744" spans="1:14" x14ac:dyDescent="0.3">
      <c r="A744" t="s">
        <v>777</v>
      </c>
      <c r="B744">
        <v>20</v>
      </c>
      <c r="C744" t="s">
        <v>15</v>
      </c>
      <c r="D744" t="s">
        <v>43</v>
      </c>
      <c r="E744">
        <v>3</v>
      </c>
      <c r="F744">
        <v>8.07</v>
      </c>
      <c r="G744">
        <v>9</v>
      </c>
      <c r="H744">
        <v>97.7</v>
      </c>
      <c r="I744" t="s">
        <v>30</v>
      </c>
      <c r="J744" t="s">
        <v>54</v>
      </c>
      <c r="K744">
        <v>6</v>
      </c>
      <c r="L744">
        <v>6</v>
      </c>
      <c r="M744">
        <v>7</v>
      </c>
      <c r="N744" t="s">
        <v>24</v>
      </c>
    </row>
    <row r="745" spans="1:14" x14ac:dyDescent="0.3">
      <c r="A745" t="s">
        <v>778</v>
      </c>
      <c r="B745">
        <v>22</v>
      </c>
      <c r="C745" t="s">
        <v>15</v>
      </c>
      <c r="D745" t="s">
        <v>29</v>
      </c>
      <c r="E745">
        <v>1</v>
      </c>
      <c r="F745">
        <v>5.28</v>
      </c>
      <c r="G745">
        <v>3</v>
      </c>
      <c r="H745">
        <v>79.2</v>
      </c>
      <c r="I745" t="s">
        <v>27</v>
      </c>
      <c r="J745" t="s">
        <v>18</v>
      </c>
      <c r="K745">
        <v>1.9</v>
      </c>
      <c r="L745">
        <v>7</v>
      </c>
      <c r="M745">
        <v>9.8000000000000007</v>
      </c>
      <c r="N745" t="s">
        <v>24</v>
      </c>
    </row>
    <row r="746" spans="1:14" x14ac:dyDescent="0.3">
      <c r="A746" t="s">
        <v>779</v>
      </c>
      <c r="B746">
        <v>25</v>
      </c>
      <c r="C746" t="s">
        <v>21</v>
      </c>
      <c r="D746" t="s">
        <v>29</v>
      </c>
      <c r="E746">
        <v>2</v>
      </c>
      <c r="F746">
        <v>8.2799999999999994</v>
      </c>
      <c r="G746">
        <v>3</v>
      </c>
      <c r="H746">
        <v>60.3</v>
      </c>
      <c r="I746" t="s">
        <v>17</v>
      </c>
      <c r="J746" t="s">
        <v>54</v>
      </c>
      <c r="K746">
        <v>6.1</v>
      </c>
      <c r="L746">
        <v>3</v>
      </c>
      <c r="M746">
        <v>6</v>
      </c>
      <c r="N746" t="s">
        <v>19</v>
      </c>
    </row>
    <row r="747" spans="1:14" x14ac:dyDescent="0.3">
      <c r="A747" t="s">
        <v>780</v>
      </c>
      <c r="B747">
        <v>22</v>
      </c>
      <c r="C747" t="s">
        <v>15</v>
      </c>
      <c r="D747" t="s">
        <v>29</v>
      </c>
      <c r="E747">
        <v>1</v>
      </c>
      <c r="F747">
        <v>6.43</v>
      </c>
      <c r="G747">
        <v>4</v>
      </c>
      <c r="H747">
        <v>50.7</v>
      </c>
      <c r="I747" t="s">
        <v>17</v>
      </c>
      <c r="J747" t="s">
        <v>18</v>
      </c>
      <c r="K747">
        <v>5.6</v>
      </c>
      <c r="L747">
        <v>2</v>
      </c>
      <c r="M747">
        <v>4.4000000000000004</v>
      </c>
      <c r="N747" t="s">
        <v>19</v>
      </c>
    </row>
    <row r="748" spans="1:14" x14ac:dyDescent="0.3">
      <c r="A748" t="s">
        <v>781</v>
      </c>
      <c r="B748">
        <v>21</v>
      </c>
      <c r="C748" t="s">
        <v>15</v>
      </c>
      <c r="D748" t="s">
        <v>37</v>
      </c>
      <c r="E748">
        <v>3</v>
      </c>
      <c r="F748">
        <v>8.44</v>
      </c>
      <c r="G748">
        <v>4</v>
      </c>
      <c r="H748">
        <v>81.3</v>
      </c>
      <c r="I748" t="s">
        <v>27</v>
      </c>
      <c r="J748" t="s">
        <v>18</v>
      </c>
      <c r="K748">
        <v>3</v>
      </c>
      <c r="L748">
        <v>10</v>
      </c>
      <c r="M748">
        <v>9.8000000000000007</v>
      </c>
      <c r="N748" t="s">
        <v>19</v>
      </c>
    </row>
    <row r="749" spans="1:14" x14ac:dyDescent="0.3">
      <c r="A749" t="s">
        <v>782</v>
      </c>
      <c r="B749">
        <v>21</v>
      </c>
      <c r="C749" t="s">
        <v>15</v>
      </c>
      <c r="D749" t="s">
        <v>22</v>
      </c>
      <c r="E749">
        <v>2</v>
      </c>
      <c r="F749">
        <v>6.68</v>
      </c>
      <c r="G749">
        <v>2</v>
      </c>
      <c r="H749">
        <v>94.4</v>
      </c>
      <c r="I749" t="s">
        <v>27</v>
      </c>
      <c r="J749" t="s">
        <v>54</v>
      </c>
      <c r="K749">
        <v>0.3</v>
      </c>
      <c r="L749">
        <v>1</v>
      </c>
      <c r="M749">
        <v>4.7</v>
      </c>
      <c r="N749" t="s">
        <v>24</v>
      </c>
    </row>
    <row r="750" spans="1:14" x14ac:dyDescent="0.3">
      <c r="A750" t="s">
        <v>783</v>
      </c>
      <c r="B750">
        <v>26</v>
      </c>
      <c r="C750" t="s">
        <v>15</v>
      </c>
      <c r="D750" t="s">
        <v>16</v>
      </c>
      <c r="E750">
        <v>2</v>
      </c>
      <c r="F750">
        <v>6.26</v>
      </c>
      <c r="G750">
        <v>3</v>
      </c>
      <c r="H750">
        <v>99.7</v>
      </c>
      <c r="I750" t="s">
        <v>17</v>
      </c>
      <c r="J750" t="s">
        <v>23</v>
      </c>
      <c r="K750">
        <v>8.9</v>
      </c>
      <c r="L750">
        <v>4</v>
      </c>
      <c r="M750">
        <v>9.1</v>
      </c>
      <c r="N750" t="s">
        <v>24</v>
      </c>
    </row>
    <row r="751" spans="1:14" x14ac:dyDescent="0.3">
      <c r="A751" t="s">
        <v>784</v>
      </c>
      <c r="B751">
        <v>26</v>
      </c>
      <c r="C751" t="s">
        <v>15</v>
      </c>
      <c r="D751" t="s">
        <v>48</v>
      </c>
      <c r="E751">
        <v>3</v>
      </c>
      <c r="F751">
        <v>6.54</v>
      </c>
      <c r="G751">
        <v>6</v>
      </c>
      <c r="H751">
        <v>65.599999999999994</v>
      </c>
      <c r="I751" t="s">
        <v>30</v>
      </c>
      <c r="J751" t="s">
        <v>18</v>
      </c>
      <c r="K751">
        <v>3.6</v>
      </c>
      <c r="L751">
        <v>7</v>
      </c>
      <c r="M751">
        <v>6</v>
      </c>
      <c r="N751" t="s">
        <v>24</v>
      </c>
    </row>
    <row r="752" spans="1:14" x14ac:dyDescent="0.3">
      <c r="A752" t="s">
        <v>785</v>
      </c>
      <c r="B752">
        <v>24</v>
      </c>
      <c r="C752" t="s">
        <v>15</v>
      </c>
      <c r="D752" t="s">
        <v>29</v>
      </c>
      <c r="E752">
        <v>2</v>
      </c>
      <c r="F752">
        <v>7.49</v>
      </c>
      <c r="G752">
        <v>5</v>
      </c>
      <c r="H752">
        <v>59.5</v>
      </c>
      <c r="I752" t="s">
        <v>30</v>
      </c>
      <c r="J752" t="s">
        <v>54</v>
      </c>
      <c r="K752">
        <v>0.6</v>
      </c>
      <c r="L752">
        <v>6</v>
      </c>
      <c r="M752">
        <v>7.8</v>
      </c>
      <c r="N752" t="s">
        <v>24</v>
      </c>
    </row>
    <row r="753" spans="1:14" x14ac:dyDescent="0.3">
      <c r="A753" t="s">
        <v>786</v>
      </c>
      <c r="B753">
        <v>17</v>
      </c>
      <c r="C753" t="s">
        <v>21</v>
      </c>
      <c r="D753" t="s">
        <v>48</v>
      </c>
      <c r="E753">
        <v>2</v>
      </c>
      <c r="F753">
        <v>6.38</v>
      </c>
      <c r="G753">
        <v>4</v>
      </c>
      <c r="H753">
        <v>56.7</v>
      </c>
      <c r="I753" t="s">
        <v>27</v>
      </c>
      <c r="J753" t="s">
        <v>35</v>
      </c>
      <c r="K753">
        <v>3</v>
      </c>
      <c r="L753">
        <v>9</v>
      </c>
      <c r="M753">
        <v>6.9</v>
      </c>
      <c r="N753" t="s">
        <v>19</v>
      </c>
    </row>
    <row r="754" spans="1:14" x14ac:dyDescent="0.3">
      <c r="A754" t="s">
        <v>787</v>
      </c>
      <c r="B754">
        <v>24</v>
      </c>
      <c r="C754" t="s">
        <v>21</v>
      </c>
      <c r="D754" t="s">
        <v>26</v>
      </c>
      <c r="E754">
        <v>2</v>
      </c>
      <c r="F754">
        <v>9.7200000000000006</v>
      </c>
      <c r="G754">
        <v>7</v>
      </c>
      <c r="H754">
        <v>83</v>
      </c>
      <c r="I754" t="s">
        <v>17</v>
      </c>
      <c r="J754" t="s">
        <v>18</v>
      </c>
      <c r="K754">
        <v>4.3</v>
      </c>
      <c r="L754">
        <v>10</v>
      </c>
      <c r="M754">
        <v>5.0999999999999996</v>
      </c>
      <c r="N754" t="s">
        <v>19</v>
      </c>
    </row>
    <row r="755" spans="1:14" x14ac:dyDescent="0.3">
      <c r="A755" t="s">
        <v>788</v>
      </c>
      <c r="B755">
        <v>17</v>
      </c>
      <c r="C755" t="s">
        <v>21</v>
      </c>
      <c r="D755" t="s">
        <v>29</v>
      </c>
      <c r="E755">
        <v>2</v>
      </c>
      <c r="F755">
        <v>8.48</v>
      </c>
      <c r="G755">
        <v>3</v>
      </c>
      <c r="H755">
        <v>83.2</v>
      </c>
      <c r="I755" t="s">
        <v>27</v>
      </c>
      <c r="J755" t="s">
        <v>35</v>
      </c>
      <c r="K755">
        <v>4.5</v>
      </c>
      <c r="L755">
        <v>5</v>
      </c>
      <c r="M755">
        <v>8.6999999999999993</v>
      </c>
      <c r="N755" t="s">
        <v>24</v>
      </c>
    </row>
    <row r="756" spans="1:14" x14ac:dyDescent="0.3">
      <c r="A756" t="s">
        <v>789</v>
      </c>
      <c r="B756">
        <v>19</v>
      </c>
      <c r="C756" t="s">
        <v>15</v>
      </c>
      <c r="D756" t="s">
        <v>37</v>
      </c>
      <c r="E756">
        <v>1</v>
      </c>
      <c r="F756">
        <v>8.67</v>
      </c>
      <c r="G756">
        <v>5</v>
      </c>
      <c r="H756">
        <v>60.5</v>
      </c>
      <c r="I756" t="s">
        <v>27</v>
      </c>
      <c r="J756" t="s">
        <v>18</v>
      </c>
      <c r="K756">
        <v>3.2</v>
      </c>
      <c r="L756">
        <v>3</v>
      </c>
      <c r="M756">
        <v>6.9</v>
      </c>
      <c r="N756" t="s">
        <v>24</v>
      </c>
    </row>
    <row r="757" spans="1:14" x14ac:dyDescent="0.3">
      <c r="A757" t="s">
        <v>790</v>
      </c>
      <c r="B757">
        <v>23</v>
      </c>
      <c r="C757" t="s">
        <v>15</v>
      </c>
      <c r="D757" t="s">
        <v>48</v>
      </c>
      <c r="E757">
        <v>2</v>
      </c>
      <c r="F757">
        <v>4.3499999999999996</v>
      </c>
      <c r="G757">
        <v>10</v>
      </c>
      <c r="H757">
        <v>75.599999999999994</v>
      </c>
      <c r="I757" t="s">
        <v>27</v>
      </c>
      <c r="J757" t="s">
        <v>33</v>
      </c>
      <c r="K757">
        <v>7.7</v>
      </c>
      <c r="L757">
        <v>2</v>
      </c>
      <c r="M757">
        <v>5.2</v>
      </c>
      <c r="N757" t="s">
        <v>24</v>
      </c>
    </row>
    <row r="758" spans="1:14" x14ac:dyDescent="0.3">
      <c r="A758" t="s">
        <v>791</v>
      </c>
      <c r="B758">
        <v>19</v>
      </c>
      <c r="C758" t="s">
        <v>21</v>
      </c>
      <c r="D758" t="s">
        <v>37</v>
      </c>
      <c r="E758">
        <v>1</v>
      </c>
      <c r="F758">
        <v>7.42</v>
      </c>
      <c r="G758">
        <v>9</v>
      </c>
      <c r="H758">
        <v>82.5</v>
      </c>
      <c r="I758" t="s">
        <v>17</v>
      </c>
      <c r="J758" t="s">
        <v>54</v>
      </c>
      <c r="K758">
        <v>7.9</v>
      </c>
      <c r="L758">
        <v>9</v>
      </c>
      <c r="M758">
        <v>9.6999999999999993</v>
      </c>
      <c r="N758" t="s">
        <v>19</v>
      </c>
    </row>
    <row r="759" spans="1:14" x14ac:dyDescent="0.3">
      <c r="A759" t="s">
        <v>792</v>
      </c>
      <c r="B759">
        <v>19</v>
      </c>
      <c r="C759" t="s">
        <v>15</v>
      </c>
      <c r="D759" t="s">
        <v>48</v>
      </c>
      <c r="E759">
        <v>3</v>
      </c>
      <c r="F759">
        <v>6.35</v>
      </c>
      <c r="G759">
        <v>2</v>
      </c>
      <c r="H759">
        <v>85.1</v>
      </c>
      <c r="I759" t="s">
        <v>17</v>
      </c>
      <c r="J759" t="s">
        <v>33</v>
      </c>
      <c r="K759">
        <v>2.4</v>
      </c>
      <c r="L759">
        <v>5</v>
      </c>
      <c r="M759">
        <v>5.0999999999999996</v>
      </c>
      <c r="N759" t="s">
        <v>24</v>
      </c>
    </row>
    <row r="760" spans="1:14" x14ac:dyDescent="0.3">
      <c r="A760" t="s">
        <v>793</v>
      </c>
      <c r="B760">
        <v>27</v>
      </c>
      <c r="C760" t="s">
        <v>15</v>
      </c>
      <c r="D760" t="s">
        <v>22</v>
      </c>
      <c r="E760">
        <v>1</v>
      </c>
      <c r="F760">
        <v>5.37</v>
      </c>
      <c r="G760">
        <v>7</v>
      </c>
      <c r="H760">
        <v>65.099999999999994</v>
      </c>
      <c r="I760" t="s">
        <v>27</v>
      </c>
      <c r="J760" t="s">
        <v>23</v>
      </c>
      <c r="K760">
        <v>3.9</v>
      </c>
      <c r="L760">
        <v>10</v>
      </c>
      <c r="M760">
        <v>5.7</v>
      </c>
      <c r="N760" t="s">
        <v>19</v>
      </c>
    </row>
    <row r="761" spans="1:14" x14ac:dyDescent="0.3">
      <c r="A761" t="s">
        <v>794</v>
      </c>
      <c r="B761">
        <v>23</v>
      </c>
      <c r="C761" t="s">
        <v>15</v>
      </c>
      <c r="D761" t="s">
        <v>32</v>
      </c>
      <c r="E761">
        <v>1</v>
      </c>
      <c r="F761">
        <v>8.7100000000000009</v>
      </c>
      <c r="G761">
        <v>4</v>
      </c>
      <c r="H761">
        <v>77.2</v>
      </c>
      <c r="I761" t="s">
        <v>30</v>
      </c>
      <c r="J761" t="s">
        <v>23</v>
      </c>
      <c r="K761">
        <v>5.2</v>
      </c>
      <c r="L761">
        <v>6</v>
      </c>
      <c r="M761">
        <v>5.2</v>
      </c>
      <c r="N761" t="s">
        <v>24</v>
      </c>
    </row>
    <row r="762" spans="1:14" x14ac:dyDescent="0.3">
      <c r="A762" t="s">
        <v>795</v>
      </c>
      <c r="B762">
        <v>17</v>
      </c>
      <c r="C762" t="s">
        <v>15</v>
      </c>
      <c r="D762" t="s">
        <v>39</v>
      </c>
      <c r="E762">
        <v>3</v>
      </c>
      <c r="F762">
        <v>7.46</v>
      </c>
      <c r="G762">
        <v>5</v>
      </c>
      <c r="H762">
        <v>77.8</v>
      </c>
      <c r="I762" t="s">
        <v>17</v>
      </c>
      <c r="J762" t="s">
        <v>18</v>
      </c>
      <c r="K762">
        <v>6.6</v>
      </c>
      <c r="L762">
        <v>7</v>
      </c>
      <c r="M762">
        <v>9.3000000000000007</v>
      </c>
      <c r="N762" t="s">
        <v>19</v>
      </c>
    </row>
    <row r="763" spans="1:14" x14ac:dyDescent="0.3">
      <c r="A763" t="s">
        <v>796</v>
      </c>
      <c r="B763">
        <v>25</v>
      </c>
      <c r="C763" t="s">
        <v>21</v>
      </c>
      <c r="D763" t="s">
        <v>16</v>
      </c>
      <c r="E763">
        <v>2</v>
      </c>
      <c r="F763">
        <v>9.57</v>
      </c>
      <c r="G763">
        <v>7</v>
      </c>
      <c r="H763">
        <v>54.6</v>
      </c>
      <c r="I763" t="s">
        <v>17</v>
      </c>
      <c r="J763" t="s">
        <v>33</v>
      </c>
      <c r="K763">
        <v>7.9</v>
      </c>
      <c r="L763">
        <v>1</v>
      </c>
      <c r="M763">
        <v>6</v>
      </c>
      <c r="N763" t="s">
        <v>24</v>
      </c>
    </row>
    <row r="764" spans="1:14" x14ac:dyDescent="0.3">
      <c r="A764" t="s">
        <v>797</v>
      </c>
      <c r="B764">
        <v>19</v>
      </c>
      <c r="C764" t="s">
        <v>21</v>
      </c>
      <c r="D764" t="s">
        <v>43</v>
      </c>
      <c r="E764">
        <v>2</v>
      </c>
      <c r="F764">
        <v>9.3699999999999992</v>
      </c>
      <c r="G764">
        <v>5</v>
      </c>
      <c r="H764">
        <v>96.2</v>
      </c>
      <c r="I764" t="s">
        <v>17</v>
      </c>
      <c r="J764" t="s">
        <v>35</v>
      </c>
      <c r="K764">
        <v>0.3</v>
      </c>
      <c r="L764">
        <v>4</v>
      </c>
      <c r="M764">
        <v>7.6</v>
      </c>
      <c r="N764" t="s">
        <v>24</v>
      </c>
    </row>
    <row r="765" spans="1:14" x14ac:dyDescent="0.3">
      <c r="A765" t="s">
        <v>798</v>
      </c>
      <c r="B765">
        <v>26</v>
      </c>
      <c r="C765" t="s">
        <v>15</v>
      </c>
      <c r="D765" t="s">
        <v>16</v>
      </c>
      <c r="E765">
        <v>1</v>
      </c>
      <c r="F765">
        <v>5.77</v>
      </c>
      <c r="G765">
        <v>3</v>
      </c>
      <c r="H765">
        <v>64.400000000000006</v>
      </c>
      <c r="I765" t="s">
        <v>17</v>
      </c>
      <c r="J765" t="s">
        <v>33</v>
      </c>
      <c r="K765">
        <v>0.3</v>
      </c>
      <c r="L765">
        <v>5</v>
      </c>
      <c r="M765">
        <v>3.6</v>
      </c>
      <c r="N765" t="s">
        <v>24</v>
      </c>
    </row>
    <row r="766" spans="1:14" x14ac:dyDescent="0.3">
      <c r="A766" t="s">
        <v>799</v>
      </c>
      <c r="B766">
        <v>20</v>
      </c>
      <c r="C766" t="s">
        <v>15</v>
      </c>
      <c r="D766" t="s">
        <v>32</v>
      </c>
      <c r="E766">
        <v>1</v>
      </c>
      <c r="F766">
        <v>7.55</v>
      </c>
      <c r="G766">
        <v>10</v>
      </c>
      <c r="H766">
        <v>50</v>
      </c>
      <c r="I766" t="s">
        <v>30</v>
      </c>
      <c r="J766" t="s">
        <v>35</v>
      </c>
      <c r="K766">
        <v>4.5</v>
      </c>
      <c r="L766">
        <v>4</v>
      </c>
      <c r="M766">
        <v>9.9</v>
      </c>
      <c r="N766" t="s">
        <v>19</v>
      </c>
    </row>
    <row r="767" spans="1:14" x14ac:dyDescent="0.3">
      <c r="A767" t="s">
        <v>800</v>
      </c>
      <c r="B767">
        <v>18</v>
      </c>
      <c r="C767" t="s">
        <v>15</v>
      </c>
      <c r="D767" t="s">
        <v>32</v>
      </c>
      <c r="E767">
        <v>3</v>
      </c>
      <c r="F767">
        <v>8.24</v>
      </c>
      <c r="G767">
        <v>6</v>
      </c>
      <c r="H767">
        <v>63.4</v>
      </c>
      <c r="I767" t="s">
        <v>17</v>
      </c>
      <c r="J767" t="s">
        <v>35</v>
      </c>
      <c r="K767">
        <v>7.6</v>
      </c>
      <c r="L767">
        <v>4</v>
      </c>
      <c r="M767">
        <v>7.1</v>
      </c>
      <c r="N767" t="s">
        <v>19</v>
      </c>
    </row>
    <row r="768" spans="1:14" x14ac:dyDescent="0.3">
      <c r="A768" t="s">
        <v>801</v>
      </c>
      <c r="B768">
        <v>20</v>
      </c>
      <c r="C768" t="s">
        <v>21</v>
      </c>
      <c r="D768" t="s">
        <v>43</v>
      </c>
      <c r="E768">
        <v>3</v>
      </c>
      <c r="F768">
        <v>6.15</v>
      </c>
      <c r="G768">
        <v>3</v>
      </c>
      <c r="H768">
        <v>83.4</v>
      </c>
      <c r="I768" t="s">
        <v>17</v>
      </c>
      <c r="J768" t="s">
        <v>33</v>
      </c>
      <c r="K768">
        <v>7.8</v>
      </c>
      <c r="L768">
        <v>10</v>
      </c>
      <c r="M768">
        <v>6.6</v>
      </c>
      <c r="N768" t="s">
        <v>24</v>
      </c>
    </row>
    <row r="769" spans="1:14" x14ac:dyDescent="0.3">
      <c r="A769" t="s">
        <v>802</v>
      </c>
      <c r="B769">
        <v>27</v>
      </c>
      <c r="C769" t="s">
        <v>15</v>
      </c>
      <c r="D769" t="s">
        <v>16</v>
      </c>
      <c r="E769">
        <v>3</v>
      </c>
      <c r="F769">
        <v>8.4600000000000009</v>
      </c>
      <c r="G769">
        <v>4</v>
      </c>
      <c r="H769">
        <v>70.7</v>
      </c>
      <c r="I769" t="s">
        <v>17</v>
      </c>
      <c r="J769" t="s">
        <v>33</v>
      </c>
      <c r="K769">
        <v>1.3</v>
      </c>
      <c r="L769">
        <v>4</v>
      </c>
      <c r="M769">
        <v>5.5</v>
      </c>
      <c r="N769" t="s">
        <v>19</v>
      </c>
    </row>
    <row r="770" spans="1:14" x14ac:dyDescent="0.3">
      <c r="A770" t="s">
        <v>803</v>
      </c>
      <c r="B770">
        <v>24</v>
      </c>
      <c r="C770" t="s">
        <v>21</v>
      </c>
      <c r="D770" t="s">
        <v>16</v>
      </c>
      <c r="E770">
        <v>2</v>
      </c>
      <c r="F770">
        <v>6.97</v>
      </c>
      <c r="G770">
        <v>8</v>
      </c>
      <c r="H770">
        <v>86.1</v>
      </c>
      <c r="I770" t="s">
        <v>17</v>
      </c>
      <c r="J770" t="s">
        <v>35</v>
      </c>
      <c r="K770">
        <v>3.9</v>
      </c>
      <c r="L770">
        <v>9</v>
      </c>
      <c r="M770">
        <v>7</v>
      </c>
      <c r="N770" t="s">
        <v>19</v>
      </c>
    </row>
    <row r="771" spans="1:14" x14ac:dyDescent="0.3">
      <c r="A771" t="s">
        <v>804</v>
      </c>
      <c r="B771">
        <v>26</v>
      </c>
      <c r="C771" t="s">
        <v>21</v>
      </c>
      <c r="D771" t="s">
        <v>48</v>
      </c>
      <c r="E771">
        <v>2</v>
      </c>
      <c r="F771">
        <v>8.23</v>
      </c>
      <c r="G771">
        <v>4</v>
      </c>
      <c r="H771">
        <v>74.3</v>
      </c>
      <c r="I771" t="s">
        <v>17</v>
      </c>
      <c r="J771" t="s">
        <v>23</v>
      </c>
      <c r="K771">
        <v>8</v>
      </c>
      <c r="L771">
        <v>10</v>
      </c>
      <c r="M771">
        <v>6.9</v>
      </c>
      <c r="N771" t="s">
        <v>24</v>
      </c>
    </row>
    <row r="772" spans="1:14" x14ac:dyDescent="0.3">
      <c r="A772" t="s">
        <v>805</v>
      </c>
      <c r="B772">
        <v>27</v>
      </c>
      <c r="C772" t="s">
        <v>15</v>
      </c>
      <c r="D772" t="s">
        <v>22</v>
      </c>
      <c r="E772">
        <v>1</v>
      </c>
      <c r="F772">
        <v>8.9600000000000009</v>
      </c>
      <c r="G772">
        <v>8</v>
      </c>
      <c r="H772">
        <v>76.400000000000006</v>
      </c>
      <c r="I772" t="s">
        <v>30</v>
      </c>
      <c r="J772" t="s">
        <v>23</v>
      </c>
      <c r="K772">
        <v>4.8</v>
      </c>
      <c r="L772">
        <v>7</v>
      </c>
      <c r="M772">
        <v>5.3</v>
      </c>
      <c r="N772" t="s">
        <v>19</v>
      </c>
    </row>
    <row r="773" spans="1:14" x14ac:dyDescent="0.3">
      <c r="A773" t="s">
        <v>806</v>
      </c>
      <c r="B773">
        <v>22</v>
      </c>
      <c r="C773" t="s">
        <v>15</v>
      </c>
      <c r="D773" t="s">
        <v>16</v>
      </c>
      <c r="E773">
        <v>2</v>
      </c>
      <c r="F773">
        <v>6.78</v>
      </c>
      <c r="G773">
        <v>7</v>
      </c>
      <c r="H773">
        <v>63.2</v>
      </c>
      <c r="I773" t="s">
        <v>17</v>
      </c>
      <c r="J773" t="s">
        <v>23</v>
      </c>
      <c r="K773">
        <v>8.3000000000000007</v>
      </c>
      <c r="L773">
        <v>9</v>
      </c>
      <c r="M773">
        <v>6.6</v>
      </c>
      <c r="N773" t="s">
        <v>24</v>
      </c>
    </row>
    <row r="774" spans="1:14" x14ac:dyDescent="0.3">
      <c r="A774" t="s">
        <v>807</v>
      </c>
      <c r="B774">
        <v>25</v>
      </c>
      <c r="C774" t="s">
        <v>21</v>
      </c>
      <c r="D774" t="s">
        <v>43</v>
      </c>
      <c r="E774">
        <v>3</v>
      </c>
      <c r="F774">
        <v>5.79</v>
      </c>
      <c r="G774">
        <v>5</v>
      </c>
      <c r="H774">
        <v>74.099999999999994</v>
      </c>
      <c r="I774" t="s">
        <v>27</v>
      </c>
      <c r="J774" t="s">
        <v>18</v>
      </c>
      <c r="K774">
        <v>0.8</v>
      </c>
      <c r="L774">
        <v>3</v>
      </c>
      <c r="M774">
        <v>9.5</v>
      </c>
      <c r="N774" t="s">
        <v>24</v>
      </c>
    </row>
    <row r="775" spans="1:14" x14ac:dyDescent="0.3">
      <c r="A775" t="s">
        <v>808</v>
      </c>
      <c r="B775">
        <v>19</v>
      </c>
      <c r="C775" t="s">
        <v>21</v>
      </c>
      <c r="D775" t="s">
        <v>32</v>
      </c>
      <c r="E775">
        <v>3</v>
      </c>
      <c r="F775">
        <v>4.3600000000000003</v>
      </c>
      <c r="G775">
        <v>10</v>
      </c>
      <c r="H775">
        <v>55.2</v>
      </c>
      <c r="I775" t="s">
        <v>17</v>
      </c>
      <c r="J775" t="s">
        <v>23</v>
      </c>
      <c r="K775">
        <v>6.9</v>
      </c>
      <c r="L775">
        <v>9</v>
      </c>
      <c r="M775">
        <v>5.4</v>
      </c>
      <c r="N775" t="s">
        <v>19</v>
      </c>
    </row>
    <row r="776" spans="1:14" x14ac:dyDescent="0.3">
      <c r="A776" t="s">
        <v>809</v>
      </c>
      <c r="B776">
        <v>20</v>
      </c>
      <c r="C776" t="s">
        <v>15</v>
      </c>
      <c r="D776" t="s">
        <v>43</v>
      </c>
      <c r="E776">
        <v>1</v>
      </c>
      <c r="F776">
        <v>8.64</v>
      </c>
      <c r="G776">
        <v>8</v>
      </c>
      <c r="H776">
        <v>67.599999999999994</v>
      </c>
      <c r="I776" t="s">
        <v>30</v>
      </c>
      <c r="J776" t="s">
        <v>18</v>
      </c>
      <c r="K776">
        <v>7.4</v>
      </c>
      <c r="L776">
        <v>9</v>
      </c>
      <c r="M776">
        <v>8.6</v>
      </c>
      <c r="N776" t="s">
        <v>19</v>
      </c>
    </row>
    <row r="777" spans="1:14" x14ac:dyDescent="0.3">
      <c r="A777" t="s">
        <v>810</v>
      </c>
      <c r="B777">
        <v>18</v>
      </c>
      <c r="C777" t="s">
        <v>15</v>
      </c>
      <c r="D777" t="s">
        <v>26</v>
      </c>
      <c r="E777">
        <v>2</v>
      </c>
      <c r="F777">
        <v>6.3</v>
      </c>
      <c r="G777">
        <v>10</v>
      </c>
      <c r="H777">
        <v>64.5</v>
      </c>
      <c r="I777" t="s">
        <v>30</v>
      </c>
      <c r="J777" t="s">
        <v>33</v>
      </c>
      <c r="K777">
        <v>2.7</v>
      </c>
      <c r="L777">
        <v>9</v>
      </c>
      <c r="M777">
        <v>3.8</v>
      </c>
      <c r="N777" t="s">
        <v>24</v>
      </c>
    </row>
    <row r="778" spans="1:14" x14ac:dyDescent="0.3">
      <c r="A778" t="s">
        <v>811</v>
      </c>
      <c r="B778">
        <v>26</v>
      </c>
      <c r="C778" t="s">
        <v>21</v>
      </c>
      <c r="D778" t="s">
        <v>22</v>
      </c>
      <c r="E778">
        <v>2</v>
      </c>
      <c r="F778">
        <v>8.36</v>
      </c>
      <c r="G778">
        <v>4</v>
      </c>
      <c r="H778">
        <v>63</v>
      </c>
      <c r="I778" t="s">
        <v>27</v>
      </c>
      <c r="J778" t="s">
        <v>35</v>
      </c>
      <c r="K778">
        <v>8</v>
      </c>
      <c r="L778">
        <v>2</v>
      </c>
      <c r="M778">
        <v>6.1</v>
      </c>
      <c r="N778" t="s">
        <v>24</v>
      </c>
    </row>
    <row r="779" spans="1:14" x14ac:dyDescent="0.3">
      <c r="A779" t="s">
        <v>812</v>
      </c>
      <c r="B779">
        <v>19</v>
      </c>
      <c r="C779" t="s">
        <v>21</v>
      </c>
      <c r="D779" t="s">
        <v>39</v>
      </c>
      <c r="E779">
        <v>1</v>
      </c>
      <c r="F779">
        <v>6.02</v>
      </c>
      <c r="G779">
        <v>10</v>
      </c>
      <c r="H779">
        <v>55.9</v>
      </c>
      <c r="I779" t="s">
        <v>17</v>
      </c>
      <c r="J779" t="s">
        <v>35</v>
      </c>
      <c r="K779">
        <v>8.4</v>
      </c>
      <c r="L779">
        <v>10</v>
      </c>
      <c r="M779">
        <v>4</v>
      </c>
      <c r="N779" t="s">
        <v>19</v>
      </c>
    </row>
    <row r="780" spans="1:14" x14ac:dyDescent="0.3">
      <c r="A780" t="s">
        <v>813</v>
      </c>
      <c r="B780">
        <v>21</v>
      </c>
      <c r="C780" t="s">
        <v>15</v>
      </c>
      <c r="D780" t="s">
        <v>16</v>
      </c>
      <c r="E780">
        <v>2</v>
      </c>
      <c r="F780">
        <v>6.84</v>
      </c>
      <c r="G780">
        <v>3</v>
      </c>
      <c r="H780">
        <v>59.8</v>
      </c>
      <c r="I780" t="s">
        <v>30</v>
      </c>
      <c r="J780" t="s">
        <v>35</v>
      </c>
      <c r="K780">
        <v>6.6</v>
      </c>
      <c r="L780">
        <v>10</v>
      </c>
      <c r="M780">
        <v>7.6</v>
      </c>
      <c r="N780" t="s">
        <v>19</v>
      </c>
    </row>
    <row r="781" spans="1:14" x14ac:dyDescent="0.3">
      <c r="A781" t="s">
        <v>814</v>
      </c>
      <c r="B781">
        <v>18</v>
      </c>
      <c r="C781" t="s">
        <v>15</v>
      </c>
      <c r="D781" t="s">
        <v>29</v>
      </c>
      <c r="E781">
        <v>1</v>
      </c>
      <c r="F781">
        <v>7.05</v>
      </c>
      <c r="G781">
        <v>8</v>
      </c>
      <c r="H781">
        <v>86.4</v>
      </c>
      <c r="I781" t="s">
        <v>30</v>
      </c>
      <c r="J781" t="s">
        <v>54</v>
      </c>
      <c r="K781">
        <v>7.8</v>
      </c>
      <c r="L781">
        <v>5</v>
      </c>
      <c r="M781">
        <v>9.6</v>
      </c>
      <c r="N781" t="s">
        <v>19</v>
      </c>
    </row>
    <row r="782" spans="1:14" x14ac:dyDescent="0.3">
      <c r="A782" t="s">
        <v>815</v>
      </c>
      <c r="B782">
        <v>25</v>
      </c>
      <c r="C782" t="s">
        <v>21</v>
      </c>
      <c r="D782" t="s">
        <v>39</v>
      </c>
      <c r="E782">
        <v>3</v>
      </c>
      <c r="F782">
        <v>9.2100000000000009</v>
      </c>
      <c r="G782">
        <v>9</v>
      </c>
      <c r="H782">
        <v>53.8</v>
      </c>
      <c r="I782" t="s">
        <v>17</v>
      </c>
      <c r="J782" t="s">
        <v>33</v>
      </c>
      <c r="K782">
        <v>1.6</v>
      </c>
      <c r="L782">
        <v>6</v>
      </c>
      <c r="M782">
        <v>8.8000000000000007</v>
      </c>
      <c r="N782" t="s">
        <v>24</v>
      </c>
    </row>
    <row r="783" spans="1:14" x14ac:dyDescent="0.3">
      <c r="A783" t="s">
        <v>816</v>
      </c>
      <c r="B783">
        <v>17</v>
      </c>
      <c r="C783" t="s">
        <v>21</v>
      </c>
      <c r="D783" t="s">
        <v>29</v>
      </c>
      <c r="E783">
        <v>2</v>
      </c>
      <c r="F783">
        <v>5.86</v>
      </c>
      <c r="G783">
        <v>10</v>
      </c>
      <c r="H783">
        <v>55.9</v>
      </c>
      <c r="I783" t="s">
        <v>27</v>
      </c>
      <c r="J783" t="s">
        <v>54</v>
      </c>
      <c r="K783">
        <v>6.1</v>
      </c>
      <c r="L783">
        <v>6</v>
      </c>
      <c r="M783">
        <v>5.4</v>
      </c>
      <c r="N783" t="s">
        <v>19</v>
      </c>
    </row>
    <row r="784" spans="1:14" x14ac:dyDescent="0.3">
      <c r="A784" t="s">
        <v>817</v>
      </c>
      <c r="B784">
        <v>22</v>
      </c>
      <c r="C784" t="s">
        <v>21</v>
      </c>
      <c r="D784" t="s">
        <v>48</v>
      </c>
      <c r="E784">
        <v>3</v>
      </c>
      <c r="F784">
        <v>9.5</v>
      </c>
      <c r="G784">
        <v>2</v>
      </c>
      <c r="H784">
        <v>56.5</v>
      </c>
      <c r="I784" t="s">
        <v>27</v>
      </c>
      <c r="J784" t="s">
        <v>33</v>
      </c>
      <c r="K784">
        <v>5.8</v>
      </c>
      <c r="L784">
        <v>5</v>
      </c>
      <c r="M784">
        <v>6.3</v>
      </c>
      <c r="N784" t="s">
        <v>19</v>
      </c>
    </row>
    <row r="785" spans="1:14" x14ac:dyDescent="0.3">
      <c r="A785" t="s">
        <v>818</v>
      </c>
      <c r="B785">
        <v>17</v>
      </c>
      <c r="C785" t="s">
        <v>15</v>
      </c>
      <c r="D785" t="s">
        <v>26</v>
      </c>
      <c r="E785">
        <v>2</v>
      </c>
      <c r="F785">
        <v>5.68</v>
      </c>
      <c r="G785">
        <v>5</v>
      </c>
      <c r="H785">
        <v>65.2</v>
      </c>
      <c r="I785" t="s">
        <v>17</v>
      </c>
      <c r="J785" t="s">
        <v>18</v>
      </c>
      <c r="K785">
        <v>7.9</v>
      </c>
      <c r="L785">
        <v>3</v>
      </c>
      <c r="M785">
        <v>8.6999999999999993</v>
      </c>
      <c r="N785" t="s">
        <v>19</v>
      </c>
    </row>
    <row r="786" spans="1:14" x14ac:dyDescent="0.3">
      <c r="A786" t="s">
        <v>819</v>
      </c>
      <c r="B786">
        <v>26</v>
      </c>
      <c r="C786" t="s">
        <v>15</v>
      </c>
      <c r="D786" t="s">
        <v>16</v>
      </c>
      <c r="E786">
        <v>3</v>
      </c>
      <c r="F786">
        <v>5.24</v>
      </c>
      <c r="G786">
        <v>8</v>
      </c>
      <c r="H786">
        <v>70.7</v>
      </c>
      <c r="I786" t="s">
        <v>17</v>
      </c>
      <c r="J786" t="s">
        <v>35</v>
      </c>
      <c r="K786">
        <v>0.6</v>
      </c>
      <c r="L786">
        <v>1</v>
      </c>
      <c r="M786">
        <v>7.4</v>
      </c>
      <c r="N786" t="s">
        <v>19</v>
      </c>
    </row>
    <row r="787" spans="1:14" x14ac:dyDescent="0.3">
      <c r="A787" t="s">
        <v>820</v>
      </c>
      <c r="B787">
        <v>17</v>
      </c>
      <c r="C787" t="s">
        <v>21</v>
      </c>
      <c r="D787" t="s">
        <v>22</v>
      </c>
      <c r="E787">
        <v>1</v>
      </c>
      <c r="F787">
        <v>8.15</v>
      </c>
      <c r="G787">
        <v>7</v>
      </c>
      <c r="H787">
        <v>95.3</v>
      </c>
      <c r="I787" t="s">
        <v>17</v>
      </c>
      <c r="J787" t="s">
        <v>35</v>
      </c>
      <c r="K787">
        <v>8.6</v>
      </c>
      <c r="L787">
        <v>9</v>
      </c>
      <c r="M787">
        <v>4.9000000000000004</v>
      </c>
      <c r="N787" t="s">
        <v>19</v>
      </c>
    </row>
    <row r="788" spans="1:14" x14ac:dyDescent="0.3">
      <c r="A788" t="s">
        <v>821</v>
      </c>
      <c r="B788">
        <v>17</v>
      </c>
      <c r="C788" t="s">
        <v>15</v>
      </c>
      <c r="D788" t="s">
        <v>39</v>
      </c>
      <c r="E788">
        <v>1</v>
      </c>
      <c r="F788">
        <v>5.76</v>
      </c>
      <c r="G788">
        <v>9</v>
      </c>
      <c r="H788">
        <v>56.5</v>
      </c>
      <c r="I788" t="s">
        <v>27</v>
      </c>
      <c r="J788" t="s">
        <v>18</v>
      </c>
      <c r="K788">
        <v>1.2</v>
      </c>
      <c r="L788">
        <v>3</v>
      </c>
      <c r="M788">
        <v>9.4</v>
      </c>
      <c r="N788" t="s">
        <v>19</v>
      </c>
    </row>
    <row r="789" spans="1:14" x14ac:dyDescent="0.3">
      <c r="A789" t="s">
        <v>822</v>
      </c>
      <c r="B789">
        <v>25</v>
      </c>
      <c r="C789" t="s">
        <v>21</v>
      </c>
      <c r="D789" t="s">
        <v>16</v>
      </c>
      <c r="E789">
        <v>1</v>
      </c>
      <c r="F789">
        <v>9.14</v>
      </c>
      <c r="G789">
        <v>8</v>
      </c>
      <c r="H789">
        <v>71.099999999999994</v>
      </c>
      <c r="I789" t="s">
        <v>30</v>
      </c>
      <c r="J789" t="s">
        <v>18</v>
      </c>
      <c r="K789">
        <v>6.1</v>
      </c>
      <c r="L789">
        <v>4</v>
      </c>
      <c r="M789">
        <v>8.3000000000000007</v>
      </c>
      <c r="N789" t="s">
        <v>24</v>
      </c>
    </row>
    <row r="790" spans="1:14" x14ac:dyDescent="0.3">
      <c r="A790" t="s">
        <v>823</v>
      </c>
      <c r="B790">
        <v>18</v>
      </c>
      <c r="C790" t="s">
        <v>15</v>
      </c>
      <c r="D790" t="s">
        <v>37</v>
      </c>
      <c r="E790">
        <v>2</v>
      </c>
      <c r="F790">
        <v>9.64</v>
      </c>
      <c r="G790">
        <v>9</v>
      </c>
      <c r="H790">
        <v>67.099999999999994</v>
      </c>
      <c r="I790" t="s">
        <v>27</v>
      </c>
      <c r="J790" t="s">
        <v>33</v>
      </c>
      <c r="K790">
        <v>1.2</v>
      </c>
      <c r="L790">
        <v>9</v>
      </c>
      <c r="M790">
        <v>7.2</v>
      </c>
      <c r="N790" t="s">
        <v>19</v>
      </c>
    </row>
    <row r="791" spans="1:14" x14ac:dyDescent="0.3">
      <c r="A791" t="s">
        <v>824</v>
      </c>
      <c r="B791">
        <v>23</v>
      </c>
      <c r="C791" t="s">
        <v>21</v>
      </c>
      <c r="D791" t="s">
        <v>22</v>
      </c>
      <c r="E791">
        <v>1</v>
      </c>
      <c r="F791">
        <v>7.91</v>
      </c>
      <c r="G791">
        <v>4</v>
      </c>
      <c r="H791">
        <v>74.2</v>
      </c>
      <c r="I791" t="s">
        <v>27</v>
      </c>
      <c r="J791" t="s">
        <v>23</v>
      </c>
      <c r="K791">
        <v>7.6</v>
      </c>
      <c r="L791">
        <v>6</v>
      </c>
      <c r="M791">
        <v>3.8</v>
      </c>
      <c r="N791" t="s">
        <v>24</v>
      </c>
    </row>
    <row r="792" spans="1:14" x14ac:dyDescent="0.3">
      <c r="A792" t="s">
        <v>825</v>
      </c>
      <c r="B792">
        <v>18</v>
      </c>
      <c r="C792" t="s">
        <v>21</v>
      </c>
      <c r="D792" t="s">
        <v>22</v>
      </c>
      <c r="E792">
        <v>1</v>
      </c>
      <c r="F792">
        <v>5.97</v>
      </c>
      <c r="G792">
        <v>9</v>
      </c>
      <c r="H792">
        <v>90.8</v>
      </c>
      <c r="I792" t="s">
        <v>27</v>
      </c>
      <c r="J792" t="s">
        <v>54</v>
      </c>
      <c r="K792">
        <v>3</v>
      </c>
      <c r="L792">
        <v>9</v>
      </c>
      <c r="M792">
        <v>4.3</v>
      </c>
      <c r="N792" t="s">
        <v>19</v>
      </c>
    </row>
    <row r="793" spans="1:14" x14ac:dyDescent="0.3">
      <c r="A793" t="s">
        <v>826</v>
      </c>
      <c r="B793">
        <v>27</v>
      </c>
      <c r="C793" t="s">
        <v>15</v>
      </c>
      <c r="D793" t="s">
        <v>29</v>
      </c>
      <c r="E793">
        <v>2</v>
      </c>
      <c r="F793">
        <v>8.82</v>
      </c>
      <c r="G793">
        <v>5</v>
      </c>
      <c r="H793">
        <v>90.6</v>
      </c>
      <c r="I793" t="s">
        <v>30</v>
      </c>
      <c r="J793" t="s">
        <v>18</v>
      </c>
      <c r="K793">
        <v>5.8</v>
      </c>
      <c r="L793">
        <v>3</v>
      </c>
      <c r="M793">
        <v>7.4</v>
      </c>
      <c r="N793" t="s">
        <v>24</v>
      </c>
    </row>
    <row r="794" spans="1:14" x14ac:dyDescent="0.3">
      <c r="A794" t="s">
        <v>827</v>
      </c>
      <c r="B794">
        <v>20</v>
      </c>
      <c r="C794" t="s">
        <v>21</v>
      </c>
      <c r="D794" t="s">
        <v>37</v>
      </c>
      <c r="E794">
        <v>3</v>
      </c>
      <c r="F794">
        <v>8.8800000000000008</v>
      </c>
      <c r="G794">
        <v>2</v>
      </c>
      <c r="H794">
        <v>63.7</v>
      </c>
      <c r="I794" t="s">
        <v>30</v>
      </c>
      <c r="J794" t="s">
        <v>23</v>
      </c>
      <c r="K794">
        <v>7.5</v>
      </c>
      <c r="L794">
        <v>2</v>
      </c>
      <c r="M794">
        <v>7.5</v>
      </c>
      <c r="N794" t="s">
        <v>19</v>
      </c>
    </row>
    <row r="795" spans="1:14" x14ac:dyDescent="0.3">
      <c r="A795" t="s">
        <v>828</v>
      </c>
      <c r="B795">
        <v>24</v>
      </c>
      <c r="C795" t="s">
        <v>15</v>
      </c>
      <c r="D795" t="s">
        <v>22</v>
      </c>
      <c r="E795">
        <v>2</v>
      </c>
      <c r="F795">
        <v>7.72</v>
      </c>
      <c r="G795">
        <v>7</v>
      </c>
      <c r="H795">
        <v>86.5</v>
      </c>
      <c r="I795" t="s">
        <v>30</v>
      </c>
      <c r="J795" t="s">
        <v>33</v>
      </c>
      <c r="K795">
        <v>5.9</v>
      </c>
      <c r="L795">
        <v>8</v>
      </c>
      <c r="M795">
        <v>7</v>
      </c>
      <c r="N795" t="s">
        <v>19</v>
      </c>
    </row>
    <row r="796" spans="1:14" x14ac:dyDescent="0.3">
      <c r="A796" t="s">
        <v>829</v>
      </c>
      <c r="B796">
        <v>18</v>
      </c>
      <c r="C796" t="s">
        <v>15</v>
      </c>
      <c r="D796" t="s">
        <v>16</v>
      </c>
      <c r="E796">
        <v>3</v>
      </c>
      <c r="F796">
        <v>5.43</v>
      </c>
      <c r="G796">
        <v>4</v>
      </c>
      <c r="H796">
        <v>63.6</v>
      </c>
      <c r="I796" t="s">
        <v>17</v>
      </c>
      <c r="J796" t="s">
        <v>35</v>
      </c>
      <c r="K796">
        <v>0.1</v>
      </c>
      <c r="L796">
        <v>1</v>
      </c>
      <c r="M796">
        <v>7.9</v>
      </c>
      <c r="N796" t="s">
        <v>24</v>
      </c>
    </row>
    <row r="797" spans="1:14" x14ac:dyDescent="0.3">
      <c r="A797" t="s">
        <v>830</v>
      </c>
      <c r="B797">
        <v>21</v>
      </c>
      <c r="C797" t="s">
        <v>15</v>
      </c>
      <c r="D797" t="s">
        <v>29</v>
      </c>
      <c r="E797">
        <v>2</v>
      </c>
      <c r="F797">
        <v>4.78</v>
      </c>
      <c r="G797">
        <v>10</v>
      </c>
      <c r="H797">
        <v>73.8</v>
      </c>
      <c r="I797" t="s">
        <v>30</v>
      </c>
      <c r="J797" t="s">
        <v>35</v>
      </c>
      <c r="K797">
        <v>5.0999999999999996</v>
      </c>
      <c r="L797">
        <v>5</v>
      </c>
      <c r="M797">
        <v>9.4</v>
      </c>
      <c r="N797" t="s">
        <v>19</v>
      </c>
    </row>
    <row r="798" spans="1:14" x14ac:dyDescent="0.3">
      <c r="A798" t="s">
        <v>831</v>
      </c>
      <c r="B798">
        <v>23</v>
      </c>
      <c r="C798" t="s">
        <v>15</v>
      </c>
      <c r="D798" t="s">
        <v>26</v>
      </c>
      <c r="E798">
        <v>2</v>
      </c>
      <c r="F798">
        <v>9.9</v>
      </c>
      <c r="G798">
        <v>5</v>
      </c>
      <c r="H798">
        <v>53.6</v>
      </c>
      <c r="I798" t="s">
        <v>30</v>
      </c>
      <c r="J798" t="s">
        <v>35</v>
      </c>
      <c r="K798">
        <v>0.1</v>
      </c>
      <c r="L798">
        <v>2</v>
      </c>
      <c r="M798">
        <v>4.7</v>
      </c>
      <c r="N798" t="s">
        <v>24</v>
      </c>
    </row>
    <row r="799" spans="1:14" x14ac:dyDescent="0.3">
      <c r="A799" t="s">
        <v>832</v>
      </c>
      <c r="B799">
        <v>18</v>
      </c>
      <c r="C799" t="s">
        <v>15</v>
      </c>
      <c r="D799" t="s">
        <v>29</v>
      </c>
      <c r="E799">
        <v>2</v>
      </c>
      <c r="F799">
        <v>6.03</v>
      </c>
      <c r="G799">
        <v>10</v>
      </c>
      <c r="H799">
        <v>57.5</v>
      </c>
      <c r="I799" t="s">
        <v>30</v>
      </c>
      <c r="J799" t="s">
        <v>54</v>
      </c>
      <c r="K799">
        <v>5</v>
      </c>
      <c r="L799">
        <v>10</v>
      </c>
      <c r="M799">
        <v>6.2</v>
      </c>
      <c r="N799" t="s">
        <v>24</v>
      </c>
    </row>
    <row r="800" spans="1:14" x14ac:dyDescent="0.3">
      <c r="A800" t="s">
        <v>833</v>
      </c>
      <c r="B800">
        <v>25</v>
      </c>
      <c r="C800" t="s">
        <v>15</v>
      </c>
      <c r="D800" t="s">
        <v>26</v>
      </c>
      <c r="E800">
        <v>2</v>
      </c>
      <c r="F800">
        <v>6.44</v>
      </c>
      <c r="G800">
        <v>6</v>
      </c>
      <c r="H800">
        <v>66.400000000000006</v>
      </c>
      <c r="I800" t="s">
        <v>30</v>
      </c>
      <c r="J800" t="s">
        <v>18</v>
      </c>
      <c r="K800">
        <v>1.5</v>
      </c>
      <c r="L800">
        <v>6</v>
      </c>
      <c r="M800">
        <v>9.1999999999999993</v>
      </c>
      <c r="N800" t="s">
        <v>24</v>
      </c>
    </row>
    <row r="801" spans="1:14" x14ac:dyDescent="0.3">
      <c r="A801" t="s">
        <v>834</v>
      </c>
      <c r="B801">
        <v>24</v>
      </c>
      <c r="C801" t="s">
        <v>15</v>
      </c>
      <c r="D801" t="s">
        <v>29</v>
      </c>
      <c r="E801">
        <v>1</v>
      </c>
      <c r="F801">
        <v>5.82</v>
      </c>
      <c r="G801">
        <v>9</v>
      </c>
      <c r="H801">
        <v>94.9</v>
      </c>
      <c r="I801" t="s">
        <v>17</v>
      </c>
      <c r="J801" t="s">
        <v>23</v>
      </c>
      <c r="K801">
        <v>7.9</v>
      </c>
      <c r="L801">
        <v>1</v>
      </c>
      <c r="M801">
        <v>4.3</v>
      </c>
      <c r="N801" t="s">
        <v>19</v>
      </c>
    </row>
    <row r="802" spans="1:14" x14ac:dyDescent="0.3">
      <c r="A802" t="s">
        <v>835</v>
      </c>
      <c r="B802">
        <v>24</v>
      </c>
      <c r="C802" t="s">
        <v>15</v>
      </c>
      <c r="D802" t="s">
        <v>26</v>
      </c>
      <c r="E802">
        <v>1</v>
      </c>
      <c r="F802">
        <v>9.1300000000000008</v>
      </c>
      <c r="G802">
        <v>10</v>
      </c>
      <c r="H802">
        <v>92.1</v>
      </c>
      <c r="I802" t="s">
        <v>17</v>
      </c>
      <c r="J802" t="s">
        <v>18</v>
      </c>
      <c r="K802">
        <v>3.2</v>
      </c>
      <c r="L802">
        <v>7</v>
      </c>
      <c r="M802">
        <v>7.2</v>
      </c>
      <c r="N802" t="s">
        <v>19</v>
      </c>
    </row>
    <row r="803" spans="1:14" x14ac:dyDescent="0.3">
      <c r="A803" t="s">
        <v>836</v>
      </c>
      <c r="B803">
        <v>27</v>
      </c>
      <c r="C803" t="s">
        <v>15</v>
      </c>
      <c r="D803" t="s">
        <v>26</v>
      </c>
      <c r="E803">
        <v>1</v>
      </c>
      <c r="F803">
        <v>9.24</v>
      </c>
      <c r="G803">
        <v>4</v>
      </c>
      <c r="H803">
        <v>83.2</v>
      </c>
      <c r="I803" t="s">
        <v>30</v>
      </c>
      <c r="J803" t="s">
        <v>33</v>
      </c>
      <c r="K803">
        <v>8.6999999999999993</v>
      </c>
      <c r="L803">
        <v>3</v>
      </c>
      <c r="M803">
        <v>8.9</v>
      </c>
      <c r="N803" t="s">
        <v>19</v>
      </c>
    </row>
    <row r="804" spans="1:14" x14ac:dyDescent="0.3">
      <c r="A804" t="s">
        <v>837</v>
      </c>
      <c r="B804">
        <v>21</v>
      </c>
      <c r="C804" t="s">
        <v>21</v>
      </c>
      <c r="D804" t="s">
        <v>26</v>
      </c>
      <c r="E804">
        <v>2</v>
      </c>
      <c r="F804">
        <v>8.25</v>
      </c>
      <c r="G804">
        <v>5</v>
      </c>
      <c r="H804">
        <v>55.3</v>
      </c>
      <c r="I804" t="s">
        <v>30</v>
      </c>
      <c r="J804" t="s">
        <v>23</v>
      </c>
      <c r="K804">
        <v>3.7</v>
      </c>
      <c r="L804">
        <v>3</v>
      </c>
      <c r="M804">
        <v>6.3</v>
      </c>
      <c r="N804" t="s">
        <v>24</v>
      </c>
    </row>
    <row r="805" spans="1:14" x14ac:dyDescent="0.3">
      <c r="A805" t="s">
        <v>838</v>
      </c>
      <c r="B805">
        <v>20</v>
      </c>
      <c r="C805" t="s">
        <v>21</v>
      </c>
      <c r="D805" t="s">
        <v>22</v>
      </c>
      <c r="E805">
        <v>2</v>
      </c>
      <c r="F805">
        <v>8.8000000000000007</v>
      </c>
      <c r="G805">
        <v>9</v>
      </c>
      <c r="H805">
        <v>63.8</v>
      </c>
      <c r="I805" t="s">
        <v>17</v>
      </c>
      <c r="J805" t="s">
        <v>54</v>
      </c>
      <c r="K805">
        <v>7.8</v>
      </c>
      <c r="L805">
        <v>7</v>
      </c>
      <c r="M805">
        <v>4.2</v>
      </c>
      <c r="N805" t="s">
        <v>19</v>
      </c>
    </row>
    <row r="806" spans="1:14" x14ac:dyDescent="0.3">
      <c r="A806" t="s">
        <v>839</v>
      </c>
      <c r="B806">
        <v>22</v>
      </c>
      <c r="C806" t="s">
        <v>21</v>
      </c>
      <c r="D806" t="s">
        <v>26</v>
      </c>
      <c r="E806">
        <v>1</v>
      </c>
      <c r="F806">
        <v>7.77</v>
      </c>
      <c r="G806">
        <v>10</v>
      </c>
      <c r="H806">
        <v>99</v>
      </c>
      <c r="I806" t="s">
        <v>30</v>
      </c>
      <c r="J806" t="s">
        <v>35</v>
      </c>
      <c r="K806">
        <v>1.9</v>
      </c>
      <c r="L806">
        <v>5</v>
      </c>
      <c r="M806">
        <v>6.2</v>
      </c>
      <c r="N806" t="s">
        <v>24</v>
      </c>
    </row>
    <row r="807" spans="1:14" x14ac:dyDescent="0.3">
      <c r="A807" t="s">
        <v>840</v>
      </c>
      <c r="B807">
        <v>23</v>
      </c>
      <c r="C807" t="s">
        <v>15</v>
      </c>
      <c r="D807" t="s">
        <v>26</v>
      </c>
      <c r="E807">
        <v>2</v>
      </c>
      <c r="F807">
        <v>6.38</v>
      </c>
      <c r="G807">
        <v>10</v>
      </c>
      <c r="H807">
        <v>50.3</v>
      </c>
      <c r="I807" t="s">
        <v>17</v>
      </c>
      <c r="J807" t="s">
        <v>33</v>
      </c>
      <c r="K807">
        <v>2.6</v>
      </c>
      <c r="L807">
        <v>5</v>
      </c>
      <c r="M807">
        <v>7.7</v>
      </c>
      <c r="N807" t="s">
        <v>24</v>
      </c>
    </row>
    <row r="808" spans="1:14" x14ac:dyDescent="0.3">
      <c r="A808" t="s">
        <v>841</v>
      </c>
      <c r="B808">
        <v>18</v>
      </c>
      <c r="C808" t="s">
        <v>21</v>
      </c>
      <c r="D808" t="s">
        <v>37</v>
      </c>
      <c r="E808">
        <v>1</v>
      </c>
      <c r="F808">
        <v>4.05</v>
      </c>
      <c r="G808">
        <v>4</v>
      </c>
      <c r="H808">
        <v>95.2</v>
      </c>
      <c r="I808" t="s">
        <v>17</v>
      </c>
      <c r="J808" t="s">
        <v>54</v>
      </c>
      <c r="K808">
        <v>5.5</v>
      </c>
      <c r="L808">
        <v>3</v>
      </c>
      <c r="M808">
        <v>7.7</v>
      </c>
      <c r="N808" t="s">
        <v>24</v>
      </c>
    </row>
    <row r="809" spans="1:14" x14ac:dyDescent="0.3">
      <c r="A809" t="s">
        <v>842</v>
      </c>
      <c r="B809">
        <v>19</v>
      </c>
      <c r="C809" t="s">
        <v>15</v>
      </c>
      <c r="D809" t="s">
        <v>43</v>
      </c>
      <c r="E809">
        <v>1</v>
      </c>
      <c r="F809">
        <v>7.74</v>
      </c>
      <c r="G809">
        <v>7</v>
      </c>
      <c r="H809">
        <v>65.5</v>
      </c>
      <c r="I809" t="s">
        <v>30</v>
      </c>
      <c r="J809" t="s">
        <v>23</v>
      </c>
      <c r="K809">
        <v>8.6999999999999993</v>
      </c>
      <c r="L809">
        <v>1</v>
      </c>
      <c r="M809">
        <v>4</v>
      </c>
      <c r="N809" t="s">
        <v>19</v>
      </c>
    </row>
    <row r="810" spans="1:14" x14ac:dyDescent="0.3">
      <c r="A810" t="s">
        <v>843</v>
      </c>
      <c r="B810">
        <v>17</v>
      </c>
      <c r="C810" t="s">
        <v>21</v>
      </c>
      <c r="D810" t="s">
        <v>29</v>
      </c>
      <c r="E810">
        <v>2</v>
      </c>
      <c r="F810">
        <v>7.16</v>
      </c>
      <c r="G810">
        <v>4</v>
      </c>
      <c r="H810">
        <v>93.1</v>
      </c>
      <c r="I810" t="s">
        <v>27</v>
      </c>
      <c r="J810" t="s">
        <v>54</v>
      </c>
      <c r="K810">
        <v>8.6</v>
      </c>
      <c r="L810">
        <v>5</v>
      </c>
      <c r="M810">
        <v>8.6</v>
      </c>
      <c r="N810" t="s">
        <v>19</v>
      </c>
    </row>
    <row r="811" spans="1:14" x14ac:dyDescent="0.3">
      <c r="A811" t="s">
        <v>844</v>
      </c>
      <c r="B811">
        <v>24</v>
      </c>
      <c r="C811" t="s">
        <v>21</v>
      </c>
      <c r="D811" t="s">
        <v>16</v>
      </c>
      <c r="E811">
        <v>3</v>
      </c>
      <c r="F811">
        <v>6.61</v>
      </c>
      <c r="G811">
        <v>9</v>
      </c>
      <c r="H811">
        <v>54.1</v>
      </c>
      <c r="I811" t="s">
        <v>17</v>
      </c>
      <c r="J811" t="s">
        <v>18</v>
      </c>
      <c r="K811">
        <v>5.8</v>
      </c>
      <c r="L811">
        <v>5</v>
      </c>
      <c r="M811">
        <v>5.3</v>
      </c>
      <c r="N811" t="s">
        <v>24</v>
      </c>
    </row>
    <row r="812" spans="1:14" x14ac:dyDescent="0.3">
      <c r="A812" t="s">
        <v>845</v>
      </c>
      <c r="B812">
        <v>22</v>
      </c>
      <c r="C812" t="s">
        <v>15</v>
      </c>
      <c r="D812" t="s">
        <v>26</v>
      </c>
      <c r="E812">
        <v>1</v>
      </c>
      <c r="F812">
        <v>7.3</v>
      </c>
      <c r="G812">
        <v>2</v>
      </c>
      <c r="H812">
        <v>79.900000000000006</v>
      </c>
      <c r="I812" t="s">
        <v>27</v>
      </c>
      <c r="J812" t="s">
        <v>33</v>
      </c>
      <c r="K812">
        <v>2.8</v>
      </c>
      <c r="L812">
        <v>10</v>
      </c>
      <c r="M812">
        <v>9.5</v>
      </c>
      <c r="N812" t="s">
        <v>24</v>
      </c>
    </row>
    <row r="813" spans="1:14" x14ac:dyDescent="0.3">
      <c r="A813" t="s">
        <v>846</v>
      </c>
      <c r="B813">
        <v>27</v>
      </c>
      <c r="C813" t="s">
        <v>21</v>
      </c>
      <c r="D813" t="s">
        <v>37</v>
      </c>
      <c r="E813">
        <v>1</v>
      </c>
      <c r="F813">
        <v>5.57</v>
      </c>
      <c r="G813">
        <v>10</v>
      </c>
      <c r="H813">
        <v>76.8</v>
      </c>
      <c r="I813" t="s">
        <v>30</v>
      </c>
      <c r="J813" t="s">
        <v>54</v>
      </c>
      <c r="K813">
        <v>5.5</v>
      </c>
      <c r="L813">
        <v>4</v>
      </c>
      <c r="M813">
        <v>9.6</v>
      </c>
      <c r="N813" t="s">
        <v>19</v>
      </c>
    </row>
    <row r="814" spans="1:14" x14ac:dyDescent="0.3">
      <c r="A814" t="s">
        <v>847</v>
      </c>
      <c r="B814">
        <v>26</v>
      </c>
      <c r="C814" t="s">
        <v>15</v>
      </c>
      <c r="D814" t="s">
        <v>22</v>
      </c>
      <c r="E814">
        <v>1</v>
      </c>
      <c r="F814">
        <v>5.52</v>
      </c>
      <c r="G814">
        <v>9</v>
      </c>
      <c r="H814">
        <v>61.6</v>
      </c>
      <c r="I814" t="s">
        <v>27</v>
      </c>
      <c r="J814" t="s">
        <v>23</v>
      </c>
      <c r="K814">
        <v>4.0999999999999996</v>
      </c>
      <c r="L814">
        <v>4</v>
      </c>
      <c r="M814">
        <v>8.3000000000000007</v>
      </c>
      <c r="N814" t="s">
        <v>19</v>
      </c>
    </row>
    <row r="815" spans="1:14" x14ac:dyDescent="0.3">
      <c r="A815" t="s">
        <v>848</v>
      </c>
      <c r="B815">
        <v>25</v>
      </c>
      <c r="C815" t="s">
        <v>21</v>
      </c>
      <c r="D815" t="s">
        <v>39</v>
      </c>
      <c r="E815">
        <v>2</v>
      </c>
      <c r="F815">
        <v>5.98</v>
      </c>
      <c r="G815">
        <v>3</v>
      </c>
      <c r="H815">
        <v>71.900000000000006</v>
      </c>
      <c r="I815" t="s">
        <v>30</v>
      </c>
      <c r="J815" t="s">
        <v>33</v>
      </c>
      <c r="K815">
        <v>4.5</v>
      </c>
      <c r="L815">
        <v>10</v>
      </c>
      <c r="M815">
        <v>6.7</v>
      </c>
      <c r="N815" t="s">
        <v>24</v>
      </c>
    </row>
    <row r="816" spans="1:14" x14ac:dyDescent="0.3">
      <c r="A816" t="s">
        <v>849</v>
      </c>
      <c r="B816">
        <v>25</v>
      </c>
      <c r="C816" t="s">
        <v>15</v>
      </c>
      <c r="D816" t="s">
        <v>43</v>
      </c>
      <c r="E816">
        <v>1</v>
      </c>
      <c r="F816">
        <v>6.11</v>
      </c>
      <c r="G816">
        <v>8</v>
      </c>
      <c r="H816">
        <v>95.2</v>
      </c>
      <c r="I816" t="s">
        <v>27</v>
      </c>
      <c r="J816" t="s">
        <v>33</v>
      </c>
      <c r="K816">
        <v>4</v>
      </c>
      <c r="L816">
        <v>6</v>
      </c>
      <c r="M816">
        <v>5.7</v>
      </c>
      <c r="N816" t="s">
        <v>24</v>
      </c>
    </row>
    <row r="817" spans="1:14" x14ac:dyDescent="0.3">
      <c r="A817" t="s">
        <v>850</v>
      </c>
      <c r="B817">
        <v>18</v>
      </c>
      <c r="C817" t="s">
        <v>15</v>
      </c>
      <c r="D817" t="s">
        <v>29</v>
      </c>
      <c r="E817">
        <v>1</v>
      </c>
      <c r="F817">
        <v>5.12</v>
      </c>
      <c r="G817">
        <v>7</v>
      </c>
      <c r="H817">
        <v>64</v>
      </c>
      <c r="I817" t="s">
        <v>17</v>
      </c>
      <c r="J817" t="s">
        <v>23</v>
      </c>
      <c r="K817">
        <v>4.8</v>
      </c>
      <c r="L817">
        <v>10</v>
      </c>
      <c r="M817">
        <v>5.5</v>
      </c>
      <c r="N817" t="s">
        <v>24</v>
      </c>
    </row>
    <row r="818" spans="1:14" x14ac:dyDescent="0.3">
      <c r="A818" t="s">
        <v>851</v>
      </c>
      <c r="B818">
        <v>24</v>
      </c>
      <c r="C818" t="s">
        <v>15</v>
      </c>
      <c r="D818" t="s">
        <v>37</v>
      </c>
      <c r="E818">
        <v>3</v>
      </c>
      <c r="F818">
        <v>7.09</v>
      </c>
      <c r="G818">
        <v>4</v>
      </c>
      <c r="H818">
        <v>86</v>
      </c>
      <c r="I818" t="s">
        <v>27</v>
      </c>
      <c r="J818" t="s">
        <v>35</v>
      </c>
      <c r="K818">
        <v>4.9000000000000004</v>
      </c>
      <c r="L818">
        <v>9</v>
      </c>
      <c r="M818">
        <v>5.7</v>
      </c>
      <c r="N818" t="s">
        <v>24</v>
      </c>
    </row>
    <row r="819" spans="1:14" x14ac:dyDescent="0.3">
      <c r="A819" t="s">
        <v>852</v>
      </c>
      <c r="B819">
        <v>19</v>
      </c>
      <c r="C819" t="s">
        <v>21</v>
      </c>
      <c r="D819" t="s">
        <v>37</v>
      </c>
      <c r="E819">
        <v>1</v>
      </c>
      <c r="F819">
        <v>4.21</v>
      </c>
      <c r="G819">
        <v>8</v>
      </c>
      <c r="H819">
        <v>85</v>
      </c>
      <c r="I819" t="s">
        <v>27</v>
      </c>
      <c r="J819" t="s">
        <v>23</v>
      </c>
      <c r="K819">
        <v>2.2999999999999998</v>
      </c>
      <c r="L819">
        <v>8</v>
      </c>
      <c r="M819">
        <v>9.8000000000000007</v>
      </c>
      <c r="N819" t="s">
        <v>19</v>
      </c>
    </row>
    <row r="820" spans="1:14" x14ac:dyDescent="0.3">
      <c r="A820" t="s">
        <v>853</v>
      </c>
      <c r="B820">
        <v>19</v>
      </c>
      <c r="C820" t="s">
        <v>21</v>
      </c>
      <c r="D820" t="s">
        <v>32</v>
      </c>
      <c r="E820">
        <v>3</v>
      </c>
      <c r="F820">
        <v>8.4</v>
      </c>
      <c r="G820">
        <v>3</v>
      </c>
      <c r="H820">
        <v>69.2</v>
      </c>
      <c r="I820" t="s">
        <v>17</v>
      </c>
      <c r="J820" t="s">
        <v>23</v>
      </c>
      <c r="K820">
        <v>7.6</v>
      </c>
      <c r="L820">
        <v>3</v>
      </c>
      <c r="M820">
        <v>8.3000000000000007</v>
      </c>
      <c r="N820" t="s">
        <v>19</v>
      </c>
    </row>
    <row r="821" spans="1:14" x14ac:dyDescent="0.3">
      <c r="A821" t="s">
        <v>854</v>
      </c>
      <c r="B821">
        <v>21</v>
      </c>
      <c r="C821" t="s">
        <v>21</v>
      </c>
      <c r="D821" t="s">
        <v>39</v>
      </c>
      <c r="E821">
        <v>1</v>
      </c>
      <c r="F821">
        <v>9.7100000000000009</v>
      </c>
      <c r="G821">
        <v>5</v>
      </c>
      <c r="H821">
        <v>86.6</v>
      </c>
      <c r="I821" t="s">
        <v>17</v>
      </c>
      <c r="J821" t="s">
        <v>33</v>
      </c>
      <c r="K821">
        <v>1.4</v>
      </c>
      <c r="L821">
        <v>4</v>
      </c>
      <c r="M821">
        <v>7.9</v>
      </c>
      <c r="N821" t="s">
        <v>24</v>
      </c>
    </row>
    <row r="822" spans="1:14" x14ac:dyDescent="0.3">
      <c r="A822" t="s">
        <v>855</v>
      </c>
      <c r="B822">
        <v>21</v>
      </c>
      <c r="C822" t="s">
        <v>21</v>
      </c>
      <c r="D822" t="s">
        <v>22</v>
      </c>
      <c r="E822">
        <v>2</v>
      </c>
      <c r="F822">
        <v>8.2100000000000009</v>
      </c>
      <c r="G822">
        <v>2</v>
      </c>
      <c r="H822">
        <v>65.8</v>
      </c>
      <c r="I822" t="s">
        <v>27</v>
      </c>
      <c r="J822" t="s">
        <v>35</v>
      </c>
      <c r="K822">
        <v>3</v>
      </c>
      <c r="L822">
        <v>2</v>
      </c>
      <c r="M822">
        <v>5.3</v>
      </c>
      <c r="N822" t="s">
        <v>24</v>
      </c>
    </row>
    <row r="823" spans="1:14" x14ac:dyDescent="0.3">
      <c r="A823" t="s">
        <v>856</v>
      </c>
      <c r="B823">
        <v>21</v>
      </c>
      <c r="C823" t="s">
        <v>21</v>
      </c>
      <c r="D823" t="s">
        <v>32</v>
      </c>
      <c r="E823">
        <v>2</v>
      </c>
      <c r="F823">
        <v>9.07</v>
      </c>
      <c r="G823">
        <v>10</v>
      </c>
      <c r="H823">
        <v>56.2</v>
      </c>
      <c r="I823" t="s">
        <v>17</v>
      </c>
      <c r="J823" t="s">
        <v>33</v>
      </c>
      <c r="K823">
        <v>0.9</v>
      </c>
      <c r="L823">
        <v>6</v>
      </c>
      <c r="M823">
        <v>4.4000000000000004</v>
      </c>
      <c r="N823" t="s">
        <v>24</v>
      </c>
    </row>
    <row r="824" spans="1:14" x14ac:dyDescent="0.3">
      <c r="A824" t="s">
        <v>857</v>
      </c>
      <c r="B824">
        <v>22</v>
      </c>
      <c r="C824" t="s">
        <v>15</v>
      </c>
      <c r="D824" t="s">
        <v>29</v>
      </c>
      <c r="E824">
        <v>2</v>
      </c>
      <c r="F824">
        <v>9.1999999999999993</v>
      </c>
      <c r="G824">
        <v>9</v>
      </c>
      <c r="H824">
        <v>58</v>
      </c>
      <c r="I824" t="s">
        <v>27</v>
      </c>
      <c r="J824" t="s">
        <v>33</v>
      </c>
      <c r="K824">
        <v>7.9</v>
      </c>
      <c r="L824">
        <v>8</v>
      </c>
      <c r="M824">
        <v>5.3</v>
      </c>
      <c r="N824" t="s">
        <v>19</v>
      </c>
    </row>
    <row r="825" spans="1:14" x14ac:dyDescent="0.3">
      <c r="A825" t="s">
        <v>858</v>
      </c>
      <c r="B825">
        <v>17</v>
      </c>
      <c r="C825" t="s">
        <v>21</v>
      </c>
      <c r="D825" t="s">
        <v>26</v>
      </c>
      <c r="E825">
        <v>1</v>
      </c>
      <c r="F825">
        <v>7.61</v>
      </c>
      <c r="G825">
        <v>9</v>
      </c>
      <c r="H825">
        <v>70.099999999999994</v>
      </c>
      <c r="I825" t="s">
        <v>17</v>
      </c>
      <c r="J825" t="s">
        <v>18</v>
      </c>
      <c r="K825">
        <v>1.6</v>
      </c>
      <c r="L825">
        <v>9</v>
      </c>
      <c r="M825">
        <v>8.3000000000000007</v>
      </c>
      <c r="N825" t="s">
        <v>19</v>
      </c>
    </row>
    <row r="826" spans="1:14" x14ac:dyDescent="0.3">
      <c r="A826" t="s">
        <v>859</v>
      </c>
      <c r="B826">
        <v>20</v>
      </c>
      <c r="C826" t="s">
        <v>15</v>
      </c>
      <c r="D826" t="s">
        <v>16</v>
      </c>
      <c r="E826">
        <v>2</v>
      </c>
      <c r="F826">
        <v>7.06</v>
      </c>
      <c r="G826">
        <v>9</v>
      </c>
      <c r="H826">
        <v>65.8</v>
      </c>
      <c r="I826" t="s">
        <v>30</v>
      </c>
      <c r="J826" t="s">
        <v>18</v>
      </c>
      <c r="K826">
        <v>1.7</v>
      </c>
      <c r="L826">
        <v>8</v>
      </c>
      <c r="M826">
        <v>9.3000000000000007</v>
      </c>
      <c r="N826" t="s">
        <v>24</v>
      </c>
    </row>
    <row r="827" spans="1:14" x14ac:dyDescent="0.3">
      <c r="A827" t="s">
        <v>860</v>
      </c>
      <c r="B827">
        <v>19</v>
      </c>
      <c r="C827" t="s">
        <v>15</v>
      </c>
      <c r="D827" t="s">
        <v>37</v>
      </c>
      <c r="E827">
        <v>3</v>
      </c>
      <c r="F827">
        <v>9.94</v>
      </c>
      <c r="G827">
        <v>7</v>
      </c>
      <c r="H827">
        <v>78.099999999999994</v>
      </c>
      <c r="I827" t="s">
        <v>27</v>
      </c>
      <c r="J827" t="s">
        <v>33</v>
      </c>
      <c r="K827">
        <v>3</v>
      </c>
      <c r="L827">
        <v>10</v>
      </c>
      <c r="M827">
        <v>9.1</v>
      </c>
      <c r="N827" t="s">
        <v>24</v>
      </c>
    </row>
    <row r="828" spans="1:14" x14ac:dyDescent="0.3">
      <c r="A828" t="s">
        <v>861</v>
      </c>
      <c r="B828">
        <v>23</v>
      </c>
      <c r="C828" t="s">
        <v>21</v>
      </c>
      <c r="D828" t="s">
        <v>39</v>
      </c>
      <c r="E828">
        <v>3</v>
      </c>
      <c r="F828">
        <v>5.01</v>
      </c>
      <c r="G828">
        <v>4</v>
      </c>
      <c r="H828">
        <v>67</v>
      </c>
      <c r="I828" t="s">
        <v>27</v>
      </c>
      <c r="J828" t="s">
        <v>33</v>
      </c>
      <c r="K828">
        <v>7.6</v>
      </c>
      <c r="L828">
        <v>5</v>
      </c>
      <c r="M828">
        <v>9.4</v>
      </c>
      <c r="N828" t="s">
        <v>24</v>
      </c>
    </row>
    <row r="829" spans="1:14" x14ac:dyDescent="0.3">
      <c r="A829" t="s">
        <v>862</v>
      </c>
      <c r="B829">
        <v>20</v>
      </c>
      <c r="C829" t="s">
        <v>21</v>
      </c>
      <c r="D829" t="s">
        <v>48</v>
      </c>
      <c r="E829">
        <v>1</v>
      </c>
      <c r="F829">
        <v>5.09</v>
      </c>
      <c r="G829">
        <v>7</v>
      </c>
      <c r="H829">
        <v>76.5</v>
      </c>
      <c r="I829" t="s">
        <v>17</v>
      </c>
      <c r="J829" t="s">
        <v>35</v>
      </c>
      <c r="K829">
        <v>6.2</v>
      </c>
      <c r="L829">
        <v>5</v>
      </c>
      <c r="M829">
        <v>5.5</v>
      </c>
      <c r="N829" t="s">
        <v>24</v>
      </c>
    </row>
    <row r="830" spans="1:14" x14ac:dyDescent="0.3">
      <c r="A830" t="s">
        <v>863</v>
      </c>
      <c r="B830">
        <v>24</v>
      </c>
      <c r="C830" t="s">
        <v>15</v>
      </c>
      <c r="D830" t="s">
        <v>48</v>
      </c>
      <c r="E830">
        <v>3</v>
      </c>
      <c r="F830">
        <v>4.1100000000000003</v>
      </c>
      <c r="G830">
        <v>7</v>
      </c>
      <c r="H830">
        <v>61.6</v>
      </c>
      <c r="I830" t="s">
        <v>30</v>
      </c>
      <c r="J830" t="s">
        <v>54</v>
      </c>
      <c r="K830">
        <v>4.9000000000000004</v>
      </c>
      <c r="L830">
        <v>6</v>
      </c>
      <c r="M830">
        <v>6.5</v>
      </c>
      <c r="N830" t="s">
        <v>19</v>
      </c>
    </row>
    <row r="831" spans="1:14" x14ac:dyDescent="0.3">
      <c r="A831" t="s">
        <v>864</v>
      </c>
      <c r="B831">
        <v>25</v>
      </c>
      <c r="C831" t="s">
        <v>21</v>
      </c>
      <c r="D831" t="s">
        <v>32</v>
      </c>
      <c r="E831">
        <v>4</v>
      </c>
      <c r="F831">
        <v>5.71</v>
      </c>
      <c r="G831">
        <v>7</v>
      </c>
      <c r="H831">
        <v>81.099999999999994</v>
      </c>
      <c r="I831" t="s">
        <v>17</v>
      </c>
      <c r="J831" t="s">
        <v>35</v>
      </c>
      <c r="K831">
        <v>5.6</v>
      </c>
      <c r="L831">
        <v>1</v>
      </c>
      <c r="M831">
        <v>8.1999999999999993</v>
      </c>
      <c r="N831" t="s">
        <v>19</v>
      </c>
    </row>
    <row r="832" spans="1:14" x14ac:dyDescent="0.3">
      <c r="A832" t="s">
        <v>865</v>
      </c>
      <c r="B832">
        <v>17</v>
      </c>
      <c r="C832" t="s">
        <v>21</v>
      </c>
      <c r="D832" t="s">
        <v>16</v>
      </c>
      <c r="E832">
        <v>2</v>
      </c>
      <c r="F832">
        <v>4.33</v>
      </c>
      <c r="G832">
        <v>8</v>
      </c>
      <c r="H832">
        <v>54.8</v>
      </c>
      <c r="I832" t="s">
        <v>27</v>
      </c>
      <c r="J832" t="s">
        <v>33</v>
      </c>
      <c r="K832">
        <v>7.1</v>
      </c>
      <c r="L832">
        <v>9</v>
      </c>
      <c r="M832">
        <v>7.7</v>
      </c>
      <c r="N832" t="s">
        <v>19</v>
      </c>
    </row>
    <row r="833" spans="1:14" x14ac:dyDescent="0.3">
      <c r="A833" t="s">
        <v>866</v>
      </c>
      <c r="B833">
        <v>24</v>
      </c>
      <c r="C833" t="s">
        <v>15</v>
      </c>
      <c r="D833" t="s">
        <v>43</v>
      </c>
      <c r="E833">
        <v>1</v>
      </c>
      <c r="F833">
        <v>6.79</v>
      </c>
      <c r="G833">
        <v>4</v>
      </c>
      <c r="H833">
        <v>83.2</v>
      </c>
      <c r="I833" t="s">
        <v>17</v>
      </c>
      <c r="J833" t="s">
        <v>18</v>
      </c>
      <c r="K833">
        <v>6.9</v>
      </c>
      <c r="L833">
        <v>1</v>
      </c>
      <c r="M833">
        <v>7.6</v>
      </c>
      <c r="N833" t="s">
        <v>19</v>
      </c>
    </row>
    <row r="834" spans="1:14" x14ac:dyDescent="0.3">
      <c r="A834" t="s">
        <v>867</v>
      </c>
      <c r="B834">
        <v>25</v>
      </c>
      <c r="C834" t="s">
        <v>15</v>
      </c>
      <c r="D834" t="s">
        <v>26</v>
      </c>
      <c r="E834">
        <v>1</v>
      </c>
      <c r="F834">
        <v>9.41</v>
      </c>
      <c r="G834">
        <v>7</v>
      </c>
      <c r="H834">
        <v>73.400000000000006</v>
      </c>
      <c r="I834" t="s">
        <v>30</v>
      </c>
      <c r="J834" t="s">
        <v>35</v>
      </c>
      <c r="K834">
        <v>4.5</v>
      </c>
      <c r="L834">
        <v>5</v>
      </c>
      <c r="M834">
        <v>3.9</v>
      </c>
      <c r="N834" t="s">
        <v>24</v>
      </c>
    </row>
    <row r="835" spans="1:14" x14ac:dyDescent="0.3">
      <c r="A835" t="s">
        <v>868</v>
      </c>
      <c r="B835">
        <v>18</v>
      </c>
      <c r="C835" t="s">
        <v>15</v>
      </c>
      <c r="D835" t="s">
        <v>16</v>
      </c>
      <c r="E835">
        <v>3</v>
      </c>
      <c r="F835">
        <v>4.21</v>
      </c>
      <c r="G835">
        <v>9</v>
      </c>
      <c r="H835">
        <v>58.4</v>
      </c>
      <c r="I835" t="s">
        <v>27</v>
      </c>
      <c r="J835" t="s">
        <v>18</v>
      </c>
      <c r="K835">
        <v>2.7</v>
      </c>
      <c r="L835">
        <v>1</v>
      </c>
      <c r="M835">
        <v>9.1</v>
      </c>
      <c r="N835" t="s">
        <v>24</v>
      </c>
    </row>
    <row r="836" spans="1:14" x14ac:dyDescent="0.3">
      <c r="A836" t="s">
        <v>869</v>
      </c>
      <c r="B836">
        <v>25</v>
      </c>
      <c r="C836" t="s">
        <v>21</v>
      </c>
      <c r="D836" t="s">
        <v>48</v>
      </c>
      <c r="E836">
        <v>2</v>
      </c>
      <c r="F836">
        <v>7.92</v>
      </c>
      <c r="G836">
        <v>4</v>
      </c>
      <c r="H836">
        <v>56.5</v>
      </c>
      <c r="I836" t="s">
        <v>30</v>
      </c>
      <c r="J836" t="s">
        <v>18</v>
      </c>
      <c r="K836">
        <v>2</v>
      </c>
      <c r="L836">
        <v>3</v>
      </c>
      <c r="M836">
        <v>6.1</v>
      </c>
      <c r="N836" t="s">
        <v>19</v>
      </c>
    </row>
    <row r="837" spans="1:14" x14ac:dyDescent="0.3">
      <c r="A837" t="s">
        <v>870</v>
      </c>
      <c r="B837">
        <v>26</v>
      </c>
      <c r="C837" t="s">
        <v>21</v>
      </c>
      <c r="D837" t="s">
        <v>32</v>
      </c>
      <c r="E837">
        <v>3</v>
      </c>
      <c r="F837">
        <v>9.3800000000000008</v>
      </c>
      <c r="G837">
        <v>3</v>
      </c>
      <c r="H837">
        <v>51.3</v>
      </c>
      <c r="I837" t="s">
        <v>30</v>
      </c>
      <c r="J837" t="s">
        <v>35</v>
      </c>
      <c r="K837">
        <v>2.9</v>
      </c>
      <c r="L837">
        <v>10</v>
      </c>
      <c r="M837">
        <v>9.9</v>
      </c>
      <c r="N837" t="s">
        <v>24</v>
      </c>
    </row>
    <row r="838" spans="1:14" x14ac:dyDescent="0.3">
      <c r="A838" t="s">
        <v>871</v>
      </c>
      <c r="B838">
        <v>24</v>
      </c>
      <c r="C838" t="s">
        <v>15</v>
      </c>
      <c r="D838" t="s">
        <v>32</v>
      </c>
      <c r="E838">
        <v>3</v>
      </c>
      <c r="F838">
        <v>5.05</v>
      </c>
      <c r="G838">
        <v>5</v>
      </c>
      <c r="H838">
        <v>59.9</v>
      </c>
      <c r="I838" t="s">
        <v>27</v>
      </c>
      <c r="J838" t="s">
        <v>23</v>
      </c>
      <c r="K838">
        <v>1.4</v>
      </c>
      <c r="L838">
        <v>10</v>
      </c>
      <c r="M838">
        <v>5.7</v>
      </c>
      <c r="N838" t="s">
        <v>19</v>
      </c>
    </row>
    <row r="839" spans="1:14" x14ac:dyDescent="0.3">
      <c r="A839" t="s">
        <v>872</v>
      </c>
      <c r="B839">
        <v>23</v>
      </c>
      <c r="C839" t="s">
        <v>15</v>
      </c>
      <c r="D839" t="s">
        <v>16</v>
      </c>
      <c r="E839">
        <v>2</v>
      </c>
      <c r="F839">
        <v>7.91</v>
      </c>
      <c r="G839">
        <v>3</v>
      </c>
      <c r="H839">
        <v>57.1</v>
      </c>
      <c r="I839" t="s">
        <v>17</v>
      </c>
      <c r="J839" t="s">
        <v>35</v>
      </c>
      <c r="K839">
        <v>6.7</v>
      </c>
      <c r="L839">
        <v>5</v>
      </c>
      <c r="M839">
        <v>9.1</v>
      </c>
      <c r="N839" t="s">
        <v>19</v>
      </c>
    </row>
    <row r="840" spans="1:14" x14ac:dyDescent="0.3">
      <c r="A840" t="s">
        <v>873</v>
      </c>
      <c r="B840">
        <v>17</v>
      </c>
      <c r="C840" t="s">
        <v>21</v>
      </c>
      <c r="D840" t="s">
        <v>39</v>
      </c>
      <c r="E840">
        <v>1</v>
      </c>
      <c r="F840">
        <v>7.34</v>
      </c>
      <c r="G840">
        <v>4</v>
      </c>
      <c r="H840">
        <v>50.5</v>
      </c>
      <c r="I840" t="s">
        <v>27</v>
      </c>
      <c r="J840" t="s">
        <v>35</v>
      </c>
      <c r="K840">
        <v>0.1</v>
      </c>
      <c r="L840">
        <v>8</v>
      </c>
      <c r="M840">
        <v>7.7</v>
      </c>
      <c r="N840" t="s">
        <v>19</v>
      </c>
    </row>
    <row r="841" spans="1:14" x14ac:dyDescent="0.3">
      <c r="A841" t="s">
        <v>874</v>
      </c>
      <c r="B841">
        <v>21</v>
      </c>
      <c r="C841" t="s">
        <v>21</v>
      </c>
      <c r="D841" t="s">
        <v>29</v>
      </c>
      <c r="E841">
        <v>1</v>
      </c>
      <c r="F841">
        <v>7.85</v>
      </c>
      <c r="G841">
        <v>6</v>
      </c>
      <c r="H841">
        <v>69.3</v>
      </c>
      <c r="I841" t="s">
        <v>17</v>
      </c>
      <c r="J841" t="s">
        <v>35</v>
      </c>
      <c r="K841">
        <v>7.6</v>
      </c>
      <c r="L841">
        <v>5</v>
      </c>
      <c r="M841">
        <v>6.7</v>
      </c>
      <c r="N841" t="s">
        <v>24</v>
      </c>
    </row>
    <row r="842" spans="1:14" x14ac:dyDescent="0.3">
      <c r="A842" t="s">
        <v>875</v>
      </c>
      <c r="B842">
        <v>21</v>
      </c>
      <c r="C842" t="s">
        <v>15</v>
      </c>
      <c r="D842" t="s">
        <v>39</v>
      </c>
      <c r="E842">
        <v>1</v>
      </c>
      <c r="F842">
        <v>9.0299999999999994</v>
      </c>
      <c r="G842">
        <v>6</v>
      </c>
      <c r="H842">
        <v>81.599999999999994</v>
      </c>
      <c r="I842" t="s">
        <v>17</v>
      </c>
      <c r="J842" t="s">
        <v>35</v>
      </c>
      <c r="K842">
        <v>3.1</v>
      </c>
      <c r="L842">
        <v>8</v>
      </c>
      <c r="M842">
        <v>5.4</v>
      </c>
      <c r="N842" t="s">
        <v>24</v>
      </c>
    </row>
    <row r="843" spans="1:14" x14ac:dyDescent="0.3">
      <c r="A843" t="s">
        <v>876</v>
      </c>
      <c r="B843">
        <v>24</v>
      </c>
      <c r="C843" t="s">
        <v>21</v>
      </c>
      <c r="D843" t="s">
        <v>32</v>
      </c>
      <c r="E843">
        <v>2</v>
      </c>
      <c r="F843">
        <v>4.47</v>
      </c>
      <c r="G843">
        <v>9</v>
      </c>
      <c r="H843">
        <v>55.4</v>
      </c>
      <c r="I843" t="s">
        <v>17</v>
      </c>
      <c r="J843" t="s">
        <v>18</v>
      </c>
      <c r="K843">
        <v>2.8</v>
      </c>
      <c r="L843">
        <v>7</v>
      </c>
      <c r="M843">
        <v>6.3</v>
      </c>
      <c r="N843" t="s">
        <v>24</v>
      </c>
    </row>
    <row r="844" spans="1:14" x14ac:dyDescent="0.3">
      <c r="A844" t="s">
        <v>877</v>
      </c>
      <c r="B844">
        <v>26</v>
      </c>
      <c r="C844" t="s">
        <v>21</v>
      </c>
      <c r="D844" t="s">
        <v>43</v>
      </c>
      <c r="E844">
        <v>2</v>
      </c>
      <c r="F844">
        <v>8.34</v>
      </c>
      <c r="G844">
        <v>4</v>
      </c>
      <c r="H844">
        <v>51.5</v>
      </c>
      <c r="I844" t="s">
        <v>17</v>
      </c>
      <c r="J844" t="s">
        <v>54</v>
      </c>
      <c r="K844">
        <v>2.2999999999999998</v>
      </c>
      <c r="L844">
        <v>1</v>
      </c>
      <c r="M844">
        <v>8</v>
      </c>
      <c r="N844" t="s">
        <v>19</v>
      </c>
    </row>
    <row r="845" spans="1:14" x14ac:dyDescent="0.3">
      <c r="A845" t="s">
        <v>878</v>
      </c>
      <c r="B845">
        <v>21</v>
      </c>
      <c r="C845" t="s">
        <v>21</v>
      </c>
      <c r="D845" t="s">
        <v>29</v>
      </c>
      <c r="E845">
        <v>1</v>
      </c>
      <c r="F845">
        <v>6.38</v>
      </c>
      <c r="G845">
        <v>3</v>
      </c>
      <c r="H845">
        <v>70.900000000000006</v>
      </c>
      <c r="I845" t="s">
        <v>17</v>
      </c>
      <c r="J845" t="s">
        <v>18</v>
      </c>
      <c r="K845">
        <v>7.5</v>
      </c>
      <c r="L845">
        <v>1</v>
      </c>
      <c r="M845">
        <v>9.6999999999999993</v>
      </c>
      <c r="N845" t="s">
        <v>24</v>
      </c>
    </row>
    <row r="846" spans="1:14" x14ac:dyDescent="0.3">
      <c r="A846" t="s">
        <v>879</v>
      </c>
      <c r="B846">
        <v>18</v>
      </c>
      <c r="C846" t="s">
        <v>21</v>
      </c>
      <c r="D846" t="s">
        <v>26</v>
      </c>
      <c r="E846">
        <v>1</v>
      </c>
      <c r="F846">
        <v>5.12</v>
      </c>
      <c r="G846">
        <v>4</v>
      </c>
      <c r="H846">
        <v>62.9</v>
      </c>
      <c r="I846" t="s">
        <v>30</v>
      </c>
      <c r="J846" t="s">
        <v>54</v>
      </c>
      <c r="K846">
        <v>8.1999999999999993</v>
      </c>
      <c r="L846">
        <v>3</v>
      </c>
      <c r="M846">
        <v>8.6</v>
      </c>
      <c r="N846" t="s">
        <v>19</v>
      </c>
    </row>
    <row r="847" spans="1:14" x14ac:dyDescent="0.3">
      <c r="A847" t="s">
        <v>880</v>
      </c>
      <c r="B847">
        <v>25</v>
      </c>
      <c r="C847" t="s">
        <v>21</v>
      </c>
      <c r="D847" t="s">
        <v>39</v>
      </c>
      <c r="E847">
        <v>3</v>
      </c>
      <c r="F847">
        <v>8.43</v>
      </c>
      <c r="G847">
        <v>7</v>
      </c>
      <c r="H847">
        <v>56.9</v>
      </c>
      <c r="I847" t="s">
        <v>27</v>
      </c>
      <c r="J847" t="s">
        <v>33</v>
      </c>
      <c r="K847">
        <v>7</v>
      </c>
      <c r="L847">
        <v>5</v>
      </c>
      <c r="M847">
        <v>9.6</v>
      </c>
      <c r="N847" t="s">
        <v>19</v>
      </c>
    </row>
    <row r="848" spans="1:14" x14ac:dyDescent="0.3">
      <c r="A848" t="s">
        <v>881</v>
      </c>
      <c r="B848">
        <v>24</v>
      </c>
      <c r="C848" t="s">
        <v>21</v>
      </c>
      <c r="D848" t="s">
        <v>22</v>
      </c>
      <c r="E848">
        <v>1</v>
      </c>
      <c r="F848">
        <v>4.51</v>
      </c>
      <c r="G848">
        <v>3</v>
      </c>
      <c r="H848">
        <v>57.4</v>
      </c>
      <c r="I848" t="s">
        <v>17</v>
      </c>
      <c r="J848" t="s">
        <v>18</v>
      </c>
      <c r="K848">
        <v>4.7</v>
      </c>
      <c r="L848">
        <v>5</v>
      </c>
      <c r="M848">
        <v>5.4</v>
      </c>
      <c r="N848" t="s">
        <v>24</v>
      </c>
    </row>
    <row r="849" spans="1:14" x14ac:dyDescent="0.3">
      <c r="A849" t="s">
        <v>882</v>
      </c>
      <c r="B849">
        <v>23</v>
      </c>
      <c r="C849" t="s">
        <v>15</v>
      </c>
      <c r="D849" t="s">
        <v>29</v>
      </c>
      <c r="E849">
        <v>2</v>
      </c>
      <c r="F849">
        <v>7.02</v>
      </c>
      <c r="G849">
        <v>8</v>
      </c>
      <c r="H849">
        <v>61</v>
      </c>
      <c r="I849" t="s">
        <v>30</v>
      </c>
      <c r="J849" t="s">
        <v>33</v>
      </c>
      <c r="K849">
        <v>8.1999999999999993</v>
      </c>
      <c r="L849">
        <v>3</v>
      </c>
      <c r="M849">
        <v>6</v>
      </c>
      <c r="N849" t="s">
        <v>24</v>
      </c>
    </row>
    <row r="850" spans="1:14" x14ac:dyDescent="0.3">
      <c r="A850" t="s">
        <v>883</v>
      </c>
      <c r="B850">
        <v>25</v>
      </c>
      <c r="C850" t="s">
        <v>15</v>
      </c>
      <c r="D850" t="s">
        <v>39</v>
      </c>
      <c r="E850">
        <v>3</v>
      </c>
      <c r="F850">
        <v>7.27</v>
      </c>
      <c r="G850">
        <v>4</v>
      </c>
      <c r="H850">
        <v>81.599999999999994</v>
      </c>
      <c r="I850" t="s">
        <v>17</v>
      </c>
      <c r="J850" t="s">
        <v>33</v>
      </c>
      <c r="K850">
        <v>2.6</v>
      </c>
      <c r="L850">
        <v>1</v>
      </c>
      <c r="M850">
        <v>9</v>
      </c>
      <c r="N850" t="s">
        <v>24</v>
      </c>
    </row>
    <row r="851" spans="1:14" x14ac:dyDescent="0.3">
      <c r="A851" t="s">
        <v>884</v>
      </c>
      <c r="B851">
        <v>21</v>
      </c>
      <c r="C851" t="s">
        <v>15</v>
      </c>
      <c r="D851" t="s">
        <v>43</v>
      </c>
      <c r="E851">
        <v>3</v>
      </c>
      <c r="F851">
        <v>7.19</v>
      </c>
      <c r="G851">
        <v>7</v>
      </c>
      <c r="H851">
        <v>99</v>
      </c>
      <c r="I851" t="s">
        <v>17</v>
      </c>
      <c r="J851" t="s">
        <v>18</v>
      </c>
      <c r="K851">
        <v>6.8</v>
      </c>
      <c r="L851">
        <v>4</v>
      </c>
      <c r="M851">
        <v>4.7</v>
      </c>
      <c r="N851" t="s">
        <v>24</v>
      </c>
    </row>
    <row r="852" spans="1:14" x14ac:dyDescent="0.3">
      <c r="A852" t="s">
        <v>885</v>
      </c>
      <c r="B852">
        <v>26</v>
      </c>
      <c r="C852" t="s">
        <v>21</v>
      </c>
      <c r="D852" t="s">
        <v>37</v>
      </c>
      <c r="E852">
        <v>1</v>
      </c>
      <c r="F852">
        <v>5.27</v>
      </c>
      <c r="G852">
        <v>2</v>
      </c>
      <c r="H852">
        <v>51.9</v>
      </c>
      <c r="I852" t="s">
        <v>17</v>
      </c>
      <c r="J852" t="s">
        <v>23</v>
      </c>
      <c r="K852">
        <v>2</v>
      </c>
      <c r="L852">
        <v>1</v>
      </c>
      <c r="M852">
        <v>6.8</v>
      </c>
      <c r="N852" t="s">
        <v>19</v>
      </c>
    </row>
    <row r="853" spans="1:14" x14ac:dyDescent="0.3">
      <c r="A853" t="s">
        <v>886</v>
      </c>
      <c r="B853">
        <v>27</v>
      </c>
      <c r="C853" t="s">
        <v>15</v>
      </c>
      <c r="D853" t="s">
        <v>16</v>
      </c>
      <c r="E853">
        <v>3</v>
      </c>
      <c r="F853">
        <v>5.74</v>
      </c>
      <c r="G853">
        <v>4</v>
      </c>
      <c r="H853">
        <v>86.7</v>
      </c>
      <c r="I853" t="s">
        <v>30</v>
      </c>
      <c r="J853" t="s">
        <v>35</v>
      </c>
      <c r="K853">
        <v>5.6</v>
      </c>
      <c r="L853">
        <v>9</v>
      </c>
      <c r="M853">
        <v>5.9</v>
      </c>
      <c r="N853" t="s">
        <v>24</v>
      </c>
    </row>
    <row r="854" spans="1:14" x14ac:dyDescent="0.3">
      <c r="A854" t="s">
        <v>887</v>
      </c>
      <c r="B854">
        <v>22</v>
      </c>
      <c r="C854" t="s">
        <v>15</v>
      </c>
      <c r="D854" t="s">
        <v>39</v>
      </c>
      <c r="E854">
        <v>2</v>
      </c>
      <c r="F854">
        <v>9.52</v>
      </c>
      <c r="G854">
        <v>5</v>
      </c>
      <c r="H854">
        <v>55</v>
      </c>
      <c r="I854" t="s">
        <v>27</v>
      </c>
      <c r="J854" t="s">
        <v>18</v>
      </c>
      <c r="K854">
        <v>2.7</v>
      </c>
      <c r="L854">
        <v>10</v>
      </c>
      <c r="M854">
        <v>4.7</v>
      </c>
      <c r="N854" t="s">
        <v>19</v>
      </c>
    </row>
    <row r="855" spans="1:14" x14ac:dyDescent="0.3">
      <c r="A855" t="s">
        <v>888</v>
      </c>
      <c r="B855">
        <v>19</v>
      </c>
      <c r="C855" t="s">
        <v>15</v>
      </c>
      <c r="D855" t="s">
        <v>29</v>
      </c>
      <c r="E855">
        <v>2</v>
      </c>
      <c r="F855">
        <v>6.51</v>
      </c>
      <c r="G855">
        <v>4</v>
      </c>
      <c r="H855">
        <v>91.3</v>
      </c>
      <c r="I855" t="s">
        <v>27</v>
      </c>
      <c r="J855" t="s">
        <v>54</v>
      </c>
      <c r="K855">
        <v>3.4</v>
      </c>
      <c r="L855">
        <v>5</v>
      </c>
      <c r="M855">
        <v>4.8</v>
      </c>
      <c r="N855" t="s">
        <v>19</v>
      </c>
    </row>
    <row r="856" spans="1:14" x14ac:dyDescent="0.3">
      <c r="A856" t="s">
        <v>889</v>
      </c>
      <c r="B856">
        <v>27</v>
      </c>
      <c r="C856" t="s">
        <v>15</v>
      </c>
      <c r="D856" t="s">
        <v>32</v>
      </c>
      <c r="E856">
        <v>1</v>
      </c>
      <c r="F856">
        <v>6.22</v>
      </c>
      <c r="G856">
        <v>3</v>
      </c>
      <c r="H856">
        <v>50.5</v>
      </c>
      <c r="I856" t="s">
        <v>27</v>
      </c>
      <c r="J856" t="s">
        <v>23</v>
      </c>
      <c r="K856">
        <v>8.8000000000000007</v>
      </c>
      <c r="L856">
        <v>6</v>
      </c>
      <c r="M856">
        <v>8</v>
      </c>
      <c r="N856" t="s">
        <v>19</v>
      </c>
    </row>
    <row r="857" spans="1:14" x14ac:dyDescent="0.3">
      <c r="A857" t="s">
        <v>890</v>
      </c>
      <c r="B857">
        <v>19</v>
      </c>
      <c r="C857" t="s">
        <v>21</v>
      </c>
      <c r="D857" t="s">
        <v>26</v>
      </c>
      <c r="E857">
        <v>1</v>
      </c>
      <c r="F857">
        <v>4.6399999999999997</v>
      </c>
      <c r="G857">
        <v>10</v>
      </c>
      <c r="H857">
        <v>86.7</v>
      </c>
      <c r="I857" t="s">
        <v>27</v>
      </c>
      <c r="J857" t="s">
        <v>54</v>
      </c>
      <c r="K857">
        <v>4.2</v>
      </c>
      <c r="L857">
        <v>6</v>
      </c>
      <c r="M857">
        <v>7.5</v>
      </c>
      <c r="N857" t="s">
        <v>19</v>
      </c>
    </row>
    <row r="858" spans="1:14" x14ac:dyDescent="0.3">
      <c r="A858" t="s">
        <v>891</v>
      </c>
      <c r="B858">
        <v>26</v>
      </c>
      <c r="C858" t="s">
        <v>15</v>
      </c>
      <c r="D858" t="s">
        <v>39</v>
      </c>
      <c r="E858">
        <v>2</v>
      </c>
      <c r="F858">
        <v>5.26</v>
      </c>
      <c r="G858">
        <v>2</v>
      </c>
      <c r="H858">
        <v>73.3</v>
      </c>
      <c r="I858" t="s">
        <v>30</v>
      </c>
      <c r="J858" t="s">
        <v>23</v>
      </c>
      <c r="K858">
        <v>7.2</v>
      </c>
      <c r="L858">
        <v>3</v>
      </c>
      <c r="M858">
        <v>9.5</v>
      </c>
      <c r="N858" t="s">
        <v>19</v>
      </c>
    </row>
    <row r="859" spans="1:14" x14ac:dyDescent="0.3">
      <c r="A859" t="s">
        <v>892</v>
      </c>
      <c r="B859">
        <v>22</v>
      </c>
      <c r="C859" t="s">
        <v>21</v>
      </c>
      <c r="D859" t="s">
        <v>32</v>
      </c>
      <c r="E859">
        <v>3</v>
      </c>
      <c r="F859">
        <v>4.5</v>
      </c>
      <c r="G859">
        <v>6</v>
      </c>
      <c r="H859">
        <v>85.5</v>
      </c>
      <c r="I859" t="s">
        <v>27</v>
      </c>
      <c r="J859" t="s">
        <v>35</v>
      </c>
      <c r="K859">
        <v>5.6</v>
      </c>
      <c r="L859">
        <v>8</v>
      </c>
      <c r="M859">
        <v>8.6</v>
      </c>
      <c r="N859" t="s">
        <v>24</v>
      </c>
    </row>
    <row r="860" spans="1:14" x14ac:dyDescent="0.3">
      <c r="A860" t="s">
        <v>893</v>
      </c>
      <c r="B860">
        <v>18</v>
      </c>
      <c r="C860" t="s">
        <v>21</v>
      </c>
      <c r="D860" t="s">
        <v>29</v>
      </c>
      <c r="E860">
        <v>2</v>
      </c>
      <c r="F860">
        <v>7.45</v>
      </c>
      <c r="G860">
        <v>5</v>
      </c>
      <c r="H860">
        <v>62.5</v>
      </c>
      <c r="I860" t="s">
        <v>30</v>
      </c>
      <c r="J860" t="s">
        <v>54</v>
      </c>
      <c r="K860">
        <v>5.3</v>
      </c>
      <c r="L860">
        <v>9</v>
      </c>
      <c r="M860">
        <v>6.6</v>
      </c>
      <c r="N860" t="s">
        <v>19</v>
      </c>
    </row>
    <row r="861" spans="1:14" x14ac:dyDescent="0.3">
      <c r="A861" t="s">
        <v>894</v>
      </c>
      <c r="B861">
        <v>19</v>
      </c>
      <c r="C861" t="s">
        <v>15</v>
      </c>
      <c r="D861" t="s">
        <v>39</v>
      </c>
      <c r="E861">
        <v>1</v>
      </c>
      <c r="F861">
        <v>8.27</v>
      </c>
      <c r="G861">
        <v>8</v>
      </c>
      <c r="H861">
        <v>65</v>
      </c>
      <c r="I861" t="s">
        <v>27</v>
      </c>
      <c r="J861" t="s">
        <v>54</v>
      </c>
      <c r="K861">
        <v>0.6</v>
      </c>
      <c r="L861">
        <v>4</v>
      </c>
      <c r="M861">
        <v>4.3</v>
      </c>
      <c r="N861" t="s">
        <v>19</v>
      </c>
    </row>
    <row r="862" spans="1:14" x14ac:dyDescent="0.3">
      <c r="A862" t="s">
        <v>895</v>
      </c>
      <c r="B862">
        <v>21</v>
      </c>
      <c r="C862" t="s">
        <v>21</v>
      </c>
      <c r="D862" t="s">
        <v>22</v>
      </c>
      <c r="E862">
        <v>2</v>
      </c>
      <c r="F862">
        <v>8.31</v>
      </c>
      <c r="G862">
        <v>4</v>
      </c>
      <c r="H862">
        <v>99.5</v>
      </c>
      <c r="I862" t="s">
        <v>27</v>
      </c>
      <c r="J862" t="s">
        <v>23</v>
      </c>
      <c r="K862">
        <v>1.5</v>
      </c>
      <c r="L862">
        <v>6</v>
      </c>
      <c r="M862">
        <v>9.8000000000000007</v>
      </c>
      <c r="N862" t="s">
        <v>19</v>
      </c>
    </row>
    <row r="863" spans="1:14" x14ac:dyDescent="0.3">
      <c r="A863" t="s">
        <v>896</v>
      </c>
      <c r="B863">
        <v>27</v>
      </c>
      <c r="C863" t="s">
        <v>21</v>
      </c>
      <c r="D863" t="s">
        <v>48</v>
      </c>
      <c r="E863">
        <v>1</v>
      </c>
      <c r="F863">
        <v>4.76</v>
      </c>
      <c r="G863">
        <v>7</v>
      </c>
      <c r="H863">
        <v>91.8</v>
      </c>
      <c r="I863" t="s">
        <v>27</v>
      </c>
      <c r="J863" t="s">
        <v>33</v>
      </c>
      <c r="K863">
        <v>2.2000000000000002</v>
      </c>
      <c r="L863">
        <v>5</v>
      </c>
      <c r="M863">
        <v>7.4</v>
      </c>
      <c r="N863" t="s">
        <v>24</v>
      </c>
    </row>
    <row r="864" spans="1:14" x14ac:dyDescent="0.3">
      <c r="A864" t="s">
        <v>897</v>
      </c>
      <c r="B864">
        <v>18</v>
      </c>
      <c r="C864" t="s">
        <v>21</v>
      </c>
      <c r="D864" t="s">
        <v>32</v>
      </c>
      <c r="E864">
        <v>2</v>
      </c>
      <c r="F864">
        <v>9.35</v>
      </c>
      <c r="G864">
        <v>5</v>
      </c>
      <c r="H864">
        <v>92.8</v>
      </c>
      <c r="I864" t="s">
        <v>27</v>
      </c>
      <c r="J864" t="s">
        <v>18</v>
      </c>
      <c r="K864">
        <v>5.5</v>
      </c>
      <c r="L864">
        <v>2</v>
      </c>
      <c r="M864">
        <v>9.5</v>
      </c>
      <c r="N864" t="s">
        <v>24</v>
      </c>
    </row>
    <row r="865" spans="1:14" x14ac:dyDescent="0.3">
      <c r="A865" t="s">
        <v>898</v>
      </c>
      <c r="B865">
        <v>23</v>
      </c>
      <c r="C865" t="s">
        <v>21</v>
      </c>
      <c r="D865" t="s">
        <v>37</v>
      </c>
      <c r="E865">
        <v>2</v>
      </c>
      <c r="F865">
        <v>4.8899999999999997</v>
      </c>
      <c r="G865">
        <v>2</v>
      </c>
      <c r="H865">
        <v>69.3</v>
      </c>
      <c r="I865" t="s">
        <v>30</v>
      </c>
      <c r="J865" t="s">
        <v>23</v>
      </c>
      <c r="K865">
        <v>2.8</v>
      </c>
      <c r="L865">
        <v>5</v>
      </c>
      <c r="M865">
        <v>6.3</v>
      </c>
      <c r="N865" t="s">
        <v>24</v>
      </c>
    </row>
    <row r="866" spans="1:14" x14ac:dyDescent="0.3">
      <c r="A866" t="s">
        <v>899</v>
      </c>
      <c r="B866">
        <v>23</v>
      </c>
      <c r="C866" t="s">
        <v>21</v>
      </c>
      <c r="D866" t="s">
        <v>22</v>
      </c>
      <c r="E866">
        <v>1</v>
      </c>
      <c r="F866">
        <v>4.3499999999999996</v>
      </c>
      <c r="G866">
        <v>2</v>
      </c>
      <c r="H866">
        <v>82.9</v>
      </c>
      <c r="I866" t="s">
        <v>27</v>
      </c>
      <c r="J866" t="s">
        <v>33</v>
      </c>
      <c r="K866">
        <v>7.7</v>
      </c>
      <c r="L866">
        <v>9</v>
      </c>
      <c r="M866">
        <v>3.7</v>
      </c>
      <c r="N866" t="s">
        <v>24</v>
      </c>
    </row>
    <row r="867" spans="1:14" x14ac:dyDescent="0.3">
      <c r="A867" t="s">
        <v>900</v>
      </c>
      <c r="B867">
        <v>19</v>
      </c>
      <c r="C867" t="s">
        <v>21</v>
      </c>
      <c r="D867" t="s">
        <v>16</v>
      </c>
      <c r="E867">
        <v>1</v>
      </c>
      <c r="F867">
        <v>4.4800000000000004</v>
      </c>
      <c r="G867">
        <v>7</v>
      </c>
      <c r="H867">
        <v>72.5</v>
      </c>
      <c r="I867" t="s">
        <v>30</v>
      </c>
      <c r="J867" t="s">
        <v>35</v>
      </c>
      <c r="K867">
        <v>6.1</v>
      </c>
      <c r="L867">
        <v>10</v>
      </c>
      <c r="M867">
        <v>3.6</v>
      </c>
      <c r="N867" t="s">
        <v>19</v>
      </c>
    </row>
    <row r="868" spans="1:14" x14ac:dyDescent="0.3">
      <c r="A868" t="s">
        <v>901</v>
      </c>
      <c r="B868">
        <v>23</v>
      </c>
      <c r="C868" t="s">
        <v>15</v>
      </c>
      <c r="D868" t="s">
        <v>26</v>
      </c>
      <c r="E868">
        <v>1</v>
      </c>
      <c r="F868">
        <v>9.6300000000000008</v>
      </c>
      <c r="G868">
        <v>10</v>
      </c>
      <c r="H868">
        <v>70.3</v>
      </c>
      <c r="I868" t="s">
        <v>27</v>
      </c>
      <c r="J868" t="s">
        <v>33</v>
      </c>
      <c r="K868">
        <v>3.6</v>
      </c>
      <c r="L868">
        <v>2</v>
      </c>
      <c r="M868">
        <v>8.6</v>
      </c>
      <c r="N868" t="s">
        <v>19</v>
      </c>
    </row>
    <row r="869" spans="1:14" x14ac:dyDescent="0.3">
      <c r="A869" t="s">
        <v>902</v>
      </c>
      <c r="B869">
        <v>19</v>
      </c>
      <c r="C869" t="s">
        <v>21</v>
      </c>
      <c r="D869" t="s">
        <v>48</v>
      </c>
      <c r="E869">
        <v>1</v>
      </c>
      <c r="F869">
        <v>8.8800000000000008</v>
      </c>
      <c r="G869">
        <v>2</v>
      </c>
      <c r="H869">
        <v>63.3</v>
      </c>
      <c r="I869" t="s">
        <v>17</v>
      </c>
      <c r="J869" t="s">
        <v>54</v>
      </c>
      <c r="K869">
        <v>1</v>
      </c>
      <c r="L869">
        <v>4</v>
      </c>
      <c r="M869">
        <v>5.3</v>
      </c>
      <c r="N869" t="s">
        <v>24</v>
      </c>
    </row>
    <row r="870" spans="1:14" x14ac:dyDescent="0.3">
      <c r="A870" t="s">
        <v>903</v>
      </c>
      <c r="B870">
        <v>17</v>
      </c>
      <c r="C870" t="s">
        <v>15</v>
      </c>
      <c r="D870" t="s">
        <v>32</v>
      </c>
      <c r="E870">
        <v>4</v>
      </c>
      <c r="F870">
        <v>8.41</v>
      </c>
      <c r="G870">
        <v>6</v>
      </c>
      <c r="H870">
        <v>64.2</v>
      </c>
      <c r="I870" t="s">
        <v>27</v>
      </c>
      <c r="J870" t="s">
        <v>33</v>
      </c>
      <c r="K870">
        <v>7.8</v>
      </c>
      <c r="L870">
        <v>2</v>
      </c>
      <c r="M870">
        <v>9.1999999999999993</v>
      </c>
      <c r="N870" t="s">
        <v>24</v>
      </c>
    </row>
    <row r="871" spans="1:14" x14ac:dyDescent="0.3">
      <c r="A871" t="s">
        <v>904</v>
      </c>
      <c r="B871">
        <v>23</v>
      </c>
      <c r="C871" t="s">
        <v>15</v>
      </c>
      <c r="D871" t="s">
        <v>26</v>
      </c>
      <c r="E871">
        <v>1</v>
      </c>
      <c r="F871">
        <v>4.38</v>
      </c>
      <c r="G871">
        <v>10</v>
      </c>
      <c r="H871">
        <v>69.8</v>
      </c>
      <c r="I871" t="s">
        <v>30</v>
      </c>
      <c r="J871" t="s">
        <v>54</v>
      </c>
      <c r="K871">
        <v>3.5</v>
      </c>
      <c r="L871">
        <v>10</v>
      </c>
      <c r="M871">
        <v>4.4000000000000004</v>
      </c>
      <c r="N871" t="s">
        <v>19</v>
      </c>
    </row>
    <row r="872" spans="1:14" x14ac:dyDescent="0.3">
      <c r="A872" t="s">
        <v>905</v>
      </c>
      <c r="B872">
        <v>20</v>
      </c>
      <c r="C872" t="s">
        <v>15</v>
      </c>
      <c r="D872" t="s">
        <v>22</v>
      </c>
      <c r="E872">
        <v>1</v>
      </c>
      <c r="F872">
        <v>9.36</v>
      </c>
      <c r="G872">
        <v>3</v>
      </c>
      <c r="H872">
        <v>82.4</v>
      </c>
      <c r="I872" t="s">
        <v>17</v>
      </c>
      <c r="J872" t="s">
        <v>33</v>
      </c>
      <c r="K872">
        <v>3.3</v>
      </c>
      <c r="L872">
        <v>3</v>
      </c>
      <c r="M872">
        <v>5.5</v>
      </c>
      <c r="N872" t="s">
        <v>19</v>
      </c>
    </row>
    <row r="873" spans="1:14" x14ac:dyDescent="0.3">
      <c r="A873" t="s">
        <v>906</v>
      </c>
      <c r="B873">
        <v>26</v>
      </c>
      <c r="C873" t="s">
        <v>15</v>
      </c>
      <c r="D873" t="s">
        <v>43</v>
      </c>
      <c r="E873">
        <v>3</v>
      </c>
      <c r="F873">
        <v>5.01</v>
      </c>
      <c r="G873">
        <v>10</v>
      </c>
      <c r="H873">
        <v>58</v>
      </c>
      <c r="I873" t="s">
        <v>17</v>
      </c>
      <c r="J873" t="s">
        <v>23</v>
      </c>
      <c r="K873">
        <v>2.4</v>
      </c>
      <c r="L873">
        <v>7</v>
      </c>
      <c r="M873">
        <v>7.5</v>
      </c>
      <c r="N873" t="s">
        <v>19</v>
      </c>
    </row>
    <row r="874" spans="1:14" x14ac:dyDescent="0.3">
      <c r="A874" t="s">
        <v>907</v>
      </c>
      <c r="B874">
        <v>27</v>
      </c>
      <c r="C874" t="s">
        <v>21</v>
      </c>
      <c r="D874" t="s">
        <v>29</v>
      </c>
      <c r="E874">
        <v>1</v>
      </c>
      <c r="F874">
        <v>4.95</v>
      </c>
      <c r="G874">
        <v>3</v>
      </c>
      <c r="H874">
        <v>76.099999999999994</v>
      </c>
      <c r="I874" t="s">
        <v>27</v>
      </c>
      <c r="J874" t="s">
        <v>23</v>
      </c>
      <c r="K874">
        <v>4.3</v>
      </c>
      <c r="L874">
        <v>1</v>
      </c>
      <c r="M874">
        <v>8.9</v>
      </c>
      <c r="N874" t="s">
        <v>24</v>
      </c>
    </row>
    <row r="875" spans="1:14" x14ac:dyDescent="0.3">
      <c r="A875" t="s">
        <v>908</v>
      </c>
      <c r="B875">
        <v>18</v>
      </c>
      <c r="C875" t="s">
        <v>21</v>
      </c>
      <c r="D875" t="s">
        <v>16</v>
      </c>
      <c r="E875">
        <v>2</v>
      </c>
      <c r="F875">
        <v>6.06</v>
      </c>
      <c r="G875">
        <v>7</v>
      </c>
      <c r="H875">
        <v>73.3</v>
      </c>
      <c r="I875" t="s">
        <v>30</v>
      </c>
      <c r="J875" t="s">
        <v>18</v>
      </c>
      <c r="K875">
        <v>6.1</v>
      </c>
      <c r="L875">
        <v>1</v>
      </c>
      <c r="M875">
        <v>7.2</v>
      </c>
      <c r="N875" t="s">
        <v>24</v>
      </c>
    </row>
    <row r="876" spans="1:14" x14ac:dyDescent="0.3">
      <c r="A876" t="s">
        <v>909</v>
      </c>
      <c r="B876">
        <v>17</v>
      </c>
      <c r="C876" t="s">
        <v>21</v>
      </c>
      <c r="D876" t="s">
        <v>37</v>
      </c>
      <c r="E876">
        <v>3</v>
      </c>
      <c r="F876">
        <v>7.8</v>
      </c>
      <c r="G876">
        <v>10</v>
      </c>
      <c r="H876">
        <v>54.2</v>
      </c>
      <c r="I876" t="s">
        <v>17</v>
      </c>
      <c r="J876" t="s">
        <v>54</v>
      </c>
      <c r="K876">
        <v>5.8</v>
      </c>
      <c r="L876">
        <v>3</v>
      </c>
      <c r="M876">
        <v>6.8</v>
      </c>
      <c r="N876" t="s">
        <v>24</v>
      </c>
    </row>
    <row r="877" spans="1:14" x14ac:dyDescent="0.3">
      <c r="A877" t="s">
        <v>910</v>
      </c>
      <c r="B877">
        <v>22</v>
      </c>
      <c r="C877" t="s">
        <v>15</v>
      </c>
      <c r="D877" t="s">
        <v>39</v>
      </c>
      <c r="E877">
        <v>2</v>
      </c>
      <c r="F877">
        <v>6.91</v>
      </c>
      <c r="G877">
        <v>9</v>
      </c>
      <c r="H877">
        <v>61.6</v>
      </c>
      <c r="I877" t="s">
        <v>27</v>
      </c>
      <c r="J877" t="s">
        <v>23</v>
      </c>
      <c r="K877">
        <v>3.7</v>
      </c>
      <c r="L877">
        <v>6</v>
      </c>
      <c r="M877">
        <v>4.9000000000000004</v>
      </c>
      <c r="N877" t="s">
        <v>24</v>
      </c>
    </row>
    <row r="878" spans="1:14" x14ac:dyDescent="0.3">
      <c r="A878" t="s">
        <v>911</v>
      </c>
      <c r="B878">
        <v>24</v>
      </c>
      <c r="C878" t="s">
        <v>21</v>
      </c>
      <c r="D878" t="s">
        <v>26</v>
      </c>
      <c r="E878">
        <v>1</v>
      </c>
      <c r="F878">
        <v>8.3800000000000008</v>
      </c>
      <c r="G878">
        <v>2</v>
      </c>
      <c r="H878">
        <v>67.8</v>
      </c>
      <c r="I878" t="s">
        <v>27</v>
      </c>
      <c r="J878" t="s">
        <v>18</v>
      </c>
      <c r="K878">
        <v>2.1</v>
      </c>
      <c r="L878">
        <v>4</v>
      </c>
      <c r="M878">
        <v>7.7</v>
      </c>
      <c r="N878" t="s">
        <v>24</v>
      </c>
    </row>
    <row r="879" spans="1:14" x14ac:dyDescent="0.3">
      <c r="A879" t="s">
        <v>912</v>
      </c>
      <c r="B879">
        <v>24</v>
      </c>
      <c r="C879" t="s">
        <v>21</v>
      </c>
      <c r="D879" t="s">
        <v>39</v>
      </c>
      <c r="E879">
        <v>1</v>
      </c>
      <c r="F879">
        <v>7.13</v>
      </c>
      <c r="G879">
        <v>9</v>
      </c>
      <c r="H879">
        <v>84.7</v>
      </c>
      <c r="I879" t="s">
        <v>17</v>
      </c>
      <c r="J879" t="s">
        <v>33</v>
      </c>
      <c r="K879">
        <v>6.2</v>
      </c>
      <c r="L879">
        <v>10</v>
      </c>
      <c r="M879">
        <v>4.2</v>
      </c>
      <c r="N879" t="s">
        <v>24</v>
      </c>
    </row>
    <row r="880" spans="1:14" x14ac:dyDescent="0.3">
      <c r="A880" t="s">
        <v>913</v>
      </c>
      <c r="B880">
        <v>22</v>
      </c>
      <c r="C880" t="s">
        <v>15</v>
      </c>
      <c r="D880" t="s">
        <v>22</v>
      </c>
      <c r="E880">
        <v>2</v>
      </c>
      <c r="F880">
        <v>7.77</v>
      </c>
      <c r="G880">
        <v>4</v>
      </c>
      <c r="H880">
        <v>53.1</v>
      </c>
      <c r="I880" t="s">
        <v>17</v>
      </c>
      <c r="J880" t="s">
        <v>23</v>
      </c>
      <c r="K880">
        <v>1.2</v>
      </c>
      <c r="L880">
        <v>9</v>
      </c>
      <c r="M880">
        <v>9.8000000000000007</v>
      </c>
      <c r="N880" t="s">
        <v>24</v>
      </c>
    </row>
    <row r="881" spans="1:14" x14ac:dyDescent="0.3">
      <c r="A881" t="s">
        <v>914</v>
      </c>
      <c r="B881">
        <v>24</v>
      </c>
      <c r="C881" t="s">
        <v>21</v>
      </c>
      <c r="D881" t="s">
        <v>39</v>
      </c>
      <c r="E881">
        <v>1</v>
      </c>
      <c r="F881">
        <v>6.54</v>
      </c>
      <c r="G881">
        <v>8</v>
      </c>
      <c r="H881">
        <v>54</v>
      </c>
      <c r="I881" t="s">
        <v>27</v>
      </c>
      <c r="J881" t="s">
        <v>35</v>
      </c>
      <c r="K881">
        <v>3.5</v>
      </c>
      <c r="L881">
        <v>2</v>
      </c>
      <c r="M881">
        <v>8</v>
      </c>
      <c r="N881" t="s">
        <v>24</v>
      </c>
    </row>
    <row r="882" spans="1:14" x14ac:dyDescent="0.3">
      <c r="A882" t="s">
        <v>915</v>
      </c>
      <c r="B882">
        <v>26</v>
      </c>
      <c r="C882" t="s">
        <v>21</v>
      </c>
      <c r="D882" t="s">
        <v>37</v>
      </c>
      <c r="E882">
        <v>3</v>
      </c>
      <c r="F882">
        <v>7.69</v>
      </c>
      <c r="G882">
        <v>6</v>
      </c>
      <c r="H882">
        <v>88.1</v>
      </c>
      <c r="I882" t="s">
        <v>17</v>
      </c>
      <c r="J882" t="s">
        <v>33</v>
      </c>
      <c r="K882">
        <v>4</v>
      </c>
      <c r="L882">
        <v>4</v>
      </c>
      <c r="M882">
        <v>6.7</v>
      </c>
      <c r="N882" t="s">
        <v>24</v>
      </c>
    </row>
    <row r="883" spans="1:14" x14ac:dyDescent="0.3">
      <c r="A883" t="s">
        <v>916</v>
      </c>
      <c r="B883">
        <v>24</v>
      </c>
      <c r="C883" t="s">
        <v>15</v>
      </c>
      <c r="D883" t="s">
        <v>26</v>
      </c>
      <c r="E883">
        <v>1</v>
      </c>
      <c r="F883">
        <v>6.38</v>
      </c>
      <c r="G883">
        <v>4</v>
      </c>
      <c r="H883">
        <v>94.2</v>
      </c>
      <c r="I883" t="s">
        <v>17</v>
      </c>
      <c r="J883" t="s">
        <v>18</v>
      </c>
      <c r="K883">
        <v>2</v>
      </c>
      <c r="L883">
        <v>5</v>
      </c>
      <c r="M883">
        <v>6.2</v>
      </c>
      <c r="N883" t="s">
        <v>19</v>
      </c>
    </row>
    <row r="884" spans="1:14" x14ac:dyDescent="0.3">
      <c r="A884" t="s">
        <v>917</v>
      </c>
      <c r="B884">
        <v>23</v>
      </c>
      <c r="C884" t="s">
        <v>15</v>
      </c>
      <c r="D884" t="s">
        <v>48</v>
      </c>
      <c r="E884">
        <v>1</v>
      </c>
      <c r="F884">
        <v>5.76</v>
      </c>
      <c r="G884">
        <v>10</v>
      </c>
      <c r="H884">
        <v>92</v>
      </c>
      <c r="I884" t="s">
        <v>30</v>
      </c>
      <c r="J884" t="s">
        <v>18</v>
      </c>
      <c r="K884">
        <v>4.0999999999999996</v>
      </c>
      <c r="L884">
        <v>10</v>
      </c>
      <c r="M884">
        <v>8</v>
      </c>
      <c r="N884" t="s">
        <v>24</v>
      </c>
    </row>
    <row r="885" spans="1:14" x14ac:dyDescent="0.3">
      <c r="A885" t="s">
        <v>918</v>
      </c>
      <c r="B885">
        <v>17</v>
      </c>
      <c r="C885" t="s">
        <v>21</v>
      </c>
      <c r="D885" t="s">
        <v>43</v>
      </c>
      <c r="E885">
        <v>3</v>
      </c>
      <c r="F885">
        <v>4.55</v>
      </c>
      <c r="G885">
        <v>2</v>
      </c>
      <c r="H885">
        <v>62.4</v>
      </c>
      <c r="I885" t="s">
        <v>27</v>
      </c>
      <c r="J885" t="s">
        <v>35</v>
      </c>
      <c r="K885">
        <v>6.7</v>
      </c>
      <c r="L885">
        <v>7</v>
      </c>
      <c r="M885">
        <v>5.8</v>
      </c>
      <c r="N885" t="s">
        <v>19</v>
      </c>
    </row>
    <row r="886" spans="1:14" x14ac:dyDescent="0.3">
      <c r="A886" t="s">
        <v>919</v>
      </c>
      <c r="B886">
        <v>22</v>
      </c>
      <c r="C886" t="s">
        <v>15</v>
      </c>
      <c r="D886" t="s">
        <v>29</v>
      </c>
      <c r="E886">
        <v>1</v>
      </c>
      <c r="F886">
        <v>6.21</v>
      </c>
      <c r="G886">
        <v>5</v>
      </c>
      <c r="H886">
        <v>91.3</v>
      </c>
      <c r="I886" t="s">
        <v>30</v>
      </c>
      <c r="J886" t="s">
        <v>23</v>
      </c>
      <c r="K886">
        <v>4.5999999999999996</v>
      </c>
      <c r="L886">
        <v>8</v>
      </c>
      <c r="M886">
        <v>5</v>
      </c>
      <c r="N886" t="s">
        <v>19</v>
      </c>
    </row>
    <row r="887" spans="1:14" x14ac:dyDescent="0.3">
      <c r="A887" t="s">
        <v>920</v>
      </c>
      <c r="B887">
        <v>19</v>
      </c>
      <c r="C887" t="s">
        <v>15</v>
      </c>
      <c r="D887" t="s">
        <v>32</v>
      </c>
      <c r="E887">
        <v>1</v>
      </c>
      <c r="F887">
        <v>4.28</v>
      </c>
      <c r="G887">
        <v>2</v>
      </c>
      <c r="H887">
        <v>57.1</v>
      </c>
      <c r="I887" t="s">
        <v>17</v>
      </c>
      <c r="J887" t="s">
        <v>54</v>
      </c>
      <c r="K887">
        <v>0.5</v>
      </c>
      <c r="L887">
        <v>9</v>
      </c>
      <c r="M887">
        <v>6.2</v>
      </c>
      <c r="N887" t="s">
        <v>19</v>
      </c>
    </row>
    <row r="888" spans="1:14" x14ac:dyDescent="0.3">
      <c r="A888" t="s">
        <v>921</v>
      </c>
      <c r="B888">
        <v>18</v>
      </c>
      <c r="C888" t="s">
        <v>21</v>
      </c>
      <c r="D888" t="s">
        <v>48</v>
      </c>
      <c r="E888">
        <v>1</v>
      </c>
      <c r="F888">
        <v>9.85</v>
      </c>
      <c r="G888">
        <v>4</v>
      </c>
      <c r="H888">
        <v>52.1</v>
      </c>
      <c r="I888" t="s">
        <v>17</v>
      </c>
      <c r="J888" t="s">
        <v>54</v>
      </c>
      <c r="K888">
        <v>1.9</v>
      </c>
      <c r="L888">
        <v>1</v>
      </c>
      <c r="M888">
        <v>8.1</v>
      </c>
      <c r="N888" t="s">
        <v>19</v>
      </c>
    </row>
    <row r="889" spans="1:14" x14ac:dyDescent="0.3">
      <c r="A889" t="s">
        <v>922</v>
      </c>
      <c r="B889">
        <v>18</v>
      </c>
      <c r="C889" t="s">
        <v>15</v>
      </c>
      <c r="D889" t="s">
        <v>32</v>
      </c>
      <c r="E889">
        <v>1</v>
      </c>
      <c r="F889">
        <v>9.8000000000000007</v>
      </c>
      <c r="G889">
        <v>3</v>
      </c>
      <c r="H889">
        <v>53.4</v>
      </c>
      <c r="I889" t="s">
        <v>27</v>
      </c>
      <c r="J889" t="s">
        <v>18</v>
      </c>
      <c r="K889">
        <v>5.7</v>
      </c>
      <c r="L889">
        <v>2</v>
      </c>
      <c r="M889">
        <v>6.9</v>
      </c>
      <c r="N889" t="s">
        <v>24</v>
      </c>
    </row>
    <row r="890" spans="1:14" x14ac:dyDescent="0.3">
      <c r="A890" t="s">
        <v>923</v>
      </c>
      <c r="B890">
        <v>23</v>
      </c>
      <c r="C890" t="s">
        <v>15</v>
      </c>
      <c r="D890" t="s">
        <v>43</v>
      </c>
      <c r="E890">
        <v>2</v>
      </c>
      <c r="F890">
        <v>4.1900000000000004</v>
      </c>
      <c r="G890">
        <v>6</v>
      </c>
      <c r="H890">
        <v>66.099999999999994</v>
      </c>
      <c r="I890" t="s">
        <v>27</v>
      </c>
      <c r="J890" t="s">
        <v>33</v>
      </c>
      <c r="K890">
        <v>5</v>
      </c>
      <c r="L890">
        <v>8</v>
      </c>
      <c r="M890">
        <v>4.2</v>
      </c>
      <c r="N890" t="s">
        <v>24</v>
      </c>
    </row>
    <row r="891" spans="1:14" x14ac:dyDescent="0.3">
      <c r="A891" t="s">
        <v>924</v>
      </c>
      <c r="B891">
        <v>24</v>
      </c>
      <c r="C891" t="s">
        <v>21</v>
      </c>
      <c r="D891" t="s">
        <v>37</v>
      </c>
      <c r="E891">
        <v>1</v>
      </c>
      <c r="F891">
        <v>7.43</v>
      </c>
      <c r="G891">
        <v>7</v>
      </c>
      <c r="H891">
        <v>50.9</v>
      </c>
      <c r="I891" t="s">
        <v>27</v>
      </c>
      <c r="J891" t="s">
        <v>23</v>
      </c>
      <c r="K891">
        <v>7.1</v>
      </c>
      <c r="L891">
        <v>10</v>
      </c>
      <c r="M891">
        <v>5.5</v>
      </c>
      <c r="N891" t="s">
        <v>19</v>
      </c>
    </row>
    <row r="892" spans="1:14" x14ac:dyDescent="0.3">
      <c r="A892" t="s">
        <v>925</v>
      </c>
      <c r="B892">
        <v>23</v>
      </c>
      <c r="C892" t="s">
        <v>21</v>
      </c>
      <c r="D892" t="s">
        <v>39</v>
      </c>
      <c r="E892">
        <v>1</v>
      </c>
      <c r="F892">
        <v>9.26</v>
      </c>
      <c r="G892">
        <v>3</v>
      </c>
      <c r="H892">
        <v>97.5</v>
      </c>
      <c r="I892" t="s">
        <v>17</v>
      </c>
      <c r="J892" t="s">
        <v>18</v>
      </c>
      <c r="K892">
        <v>1.3</v>
      </c>
      <c r="L892">
        <v>4</v>
      </c>
      <c r="M892">
        <v>9.9</v>
      </c>
      <c r="N892" t="s">
        <v>24</v>
      </c>
    </row>
    <row r="893" spans="1:14" x14ac:dyDescent="0.3">
      <c r="A893" t="s">
        <v>926</v>
      </c>
      <c r="B893">
        <v>17</v>
      </c>
      <c r="C893" t="s">
        <v>15</v>
      </c>
      <c r="D893" t="s">
        <v>48</v>
      </c>
      <c r="E893">
        <v>1</v>
      </c>
      <c r="F893">
        <v>7.97</v>
      </c>
      <c r="G893">
        <v>2</v>
      </c>
      <c r="H893">
        <v>68.5</v>
      </c>
      <c r="I893" t="s">
        <v>30</v>
      </c>
      <c r="J893" t="s">
        <v>18</v>
      </c>
      <c r="K893">
        <v>4.5999999999999996</v>
      </c>
      <c r="L893">
        <v>4</v>
      </c>
      <c r="M893">
        <v>6.5</v>
      </c>
      <c r="N893" t="s">
        <v>19</v>
      </c>
    </row>
    <row r="894" spans="1:14" x14ac:dyDescent="0.3">
      <c r="A894" t="s">
        <v>927</v>
      </c>
      <c r="B894">
        <v>22</v>
      </c>
      <c r="C894" t="s">
        <v>21</v>
      </c>
      <c r="D894" t="s">
        <v>48</v>
      </c>
      <c r="E894">
        <v>2</v>
      </c>
      <c r="F894">
        <v>4.7</v>
      </c>
      <c r="G894">
        <v>8</v>
      </c>
      <c r="H894">
        <v>91.2</v>
      </c>
      <c r="I894" t="s">
        <v>27</v>
      </c>
      <c r="J894" t="s">
        <v>54</v>
      </c>
      <c r="K894">
        <v>4.3</v>
      </c>
      <c r="L894">
        <v>4</v>
      </c>
      <c r="M894">
        <v>8.9</v>
      </c>
      <c r="N894" t="s">
        <v>19</v>
      </c>
    </row>
    <row r="895" spans="1:14" x14ac:dyDescent="0.3">
      <c r="A895" t="s">
        <v>928</v>
      </c>
      <c r="B895">
        <v>23</v>
      </c>
      <c r="C895" t="s">
        <v>15</v>
      </c>
      <c r="D895" t="s">
        <v>43</v>
      </c>
      <c r="E895">
        <v>1</v>
      </c>
      <c r="F895">
        <v>8.56</v>
      </c>
      <c r="G895">
        <v>3</v>
      </c>
      <c r="H895">
        <v>87.7</v>
      </c>
      <c r="I895" t="s">
        <v>17</v>
      </c>
      <c r="J895" t="s">
        <v>54</v>
      </c>
      <c r="K895">
        <v>4.4000000000000004</v>
      </c>
      <c r="L895">
        <v>9</v>
      </c>
      <c r="M895">
        <v>9.1999999999999993</v>
      </c>
      <c r="N895" t="s">
        <v>24</v>
      </c>
    </row>
    <row r="896" spans="1:14" x14ac:dyDescent="0.3">
      <c r="A896" t="s">
        <v>929</v>
      </c>
      <c r="B896">
        <v>26</v>
      </c>
      <c r="C896" t="s">
        <v>15</v>
      </c>
      <c r="D896" t="s">
        <v>26</v>
      </c>
      <c r="E896">
        <v>2</v>
      </c>
      <c r="F896">
        <v>5.65</v>
      </c>
      <c r="G896">
        <v>6</v>
      </c>
      <c r="H896">
        <v>59.8</v>
      </c>
      <c r="I896" t="s">
        <v>27</v>
      </c>
      <c r="J896" t="s">
        <v>35</v>
      </c>
      <c r="K896">
        <v>8.9</v>
      </c>
      <c r="L896">
        <v>7</v>
      </c>
      <c r="M896">
        <v>8.5</v>
      </c>
      <c r="N896"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BE92-654D-4452-AC81-CF03A5CF7AFD}">
  <dimension ref="A1:F15"/>
  <sheetViews>
    <sheetView workbookViewId="0">
      <selection activeCell="H25" sqref="H25"/>
    </sheetView>
  </sheetViews>
  <sheetFormatPr defaultRowHeight="14.4" x14ac:dyDescent="0.3"/>
  <cols>
    <col min="1" max="1" width="12.5546875" bestFit="1" customWidth="1"/>
    <col min="2" max="2" width="15.5546875" bestFit="1" customWidth="1"/>
    <col min="3" max="3" width="6" bestFit="1" customWidth="1"/>
    <col min="4" max="4" width="5" bestFit="1" customWidth="1"/>
    <col min="5" max="5" width="6" bestFit="1" customWidth="1"/>
    <col min="6" max="6" width="10.77734375" bestFit="1" customWidth="1"/>
    <col min="7" max="7" width="6.6640625" bestFit="1" customWidth="1"/>
    <col min="8" max="8" width="7" bestFit="1" customWidth="1"/>
    <col min="9" max="9" width="5.21875" bestFit="1" customWidth="1"/>
    <col min="10" max="10" width="6.6640625" bestFit="1" customWidth="1"/>
    <col min="11" max="11" width="7" bestFit="1" customWidth="1"/>
    <col min="12" max="12" width="6" bestFit="1" customWidth="1"/>
    <col min="13" max="13" width="6.6640625" bestFit="1" customWidth="1"/>
    <col min="14" max="14" width="10.77734375" bestFit="1" customWidth="1"/>
    <col min="15" max="15" width="10.6640625" bestFit="1" customWidth="1"/>
    <col min="16" max="16" width="8" bestFit="1" customWidth="1"/>
    <col min="17" max="17" width="10.6640625" bestFit="1" customWidth="1"/>
    <col min="18" max="18" width="8" bestFit="1" customWidth="1"/>
    <col min="19" max="19" width="10.6640625" bestFit="1" customWidth="1"/>
    <col min="20" max="20" width="8" bestFit="1" customWidth="1"/>
    <col min="21" max="21" width="10.6640625" bestFit="1" customWidth="1"/>
    <col min="22" max="22" width="10.77734375" bestFit="1" customWidth="1"/>
    <col min="23" max="896" width="6" bestFit="1" customWidth="1"/>
    <col min="897" max="897" width="10.77734375" bestFit="1" customWidth="1"/>
  </cols>
  <sheetData>
    <row r="1" spans="1:6" x14ac:dyDescent="0.3">
      <c r="A1" s="1" t="s">
        <v>2</v>
      </c>
      <c r="B1" t="s">
        <v>935</v>
      </c>
    </row>
    <row r="3" spans="1:6" x14ac:dyDescent="0.3">
      <c r="A3" s="1" t="s">
        <v>930</v>
      </c>
      <c r="B3" s="1" t="s">
        <v>933</v>
      </c>
    </row>
    <row r="4" spans="1:6" x14ac:dyDescent="0.3">
      <c r="A4" s="1" t="s">
        <v>931</v>
      </c>
      <c r="B4">
        <v>4</v>
      </c>
      <c r="C4">
        <v>3</v>
      </c>
      <c r="D4">
        <v>2</v>
      </c>
      <c r="E4">
        <v>1</v>
      </c>
      <c r="F4" t="s">
        <v>932</v>
      </c>
    </row>
    <row r="5" spans="1:6" x14ac:dyDescent="0.3">
      <c r="A5" s="2" t="s">
        <v>83</v>
      </c>
      <c r="E5">
        <v>9.94</v>
      </c>
      <c r="F5">
        <v>9.94</v>
      </c>
    </row>
    <row r="6" spans="1:6" x14ac:dyDescent="0.3">
      <c r="A6" s="2" t="s">
        <v>253</v>
      </c>
      <c r="E6">
        <v>9.9499999999999993</v>
      </c>
      <c r="F6">
        <v>9.9499999999999993</v>
      </c>
    </row>
    <row r="7" spans="1:6" x14ac:dyDescent="0.3">
      <c r="A7" s="2" t="s">
        <v>263</v>
      </c>
      <c r="E7">
        <v>9.9600000000000009</v>
      </c>
      <c r="F7">
        <v>9.9600000000000009</v>
      </c>
    </row>
    <row r="8" spans="1:6" x14ac:dyDescent="0.3">
      <c r="A8" s="2" t="s">
        <v>307</v>
      </c>
      <c r="E8">
        <v>9.9700000000000006</v>
      </c>
      <c r="F8">
        <v>9.9700000000000006</v>
      </c>
    </row>
    <row r="9" spans="1:6" x14ac:dyDescent="0.3">
      <c r="A9" s="2" t="s">
        <v>490</v>
      </c>
      <c r="E9">
        <v>9.9499999999999993</v>
      </c>
      <c r="F9">
        <v>9.9499999999999993</v>
      </c>
    </row>
    <row r="10" spans="1:6" x14ac:dyDescent="0.3">
      <c r="A10" s="2" t="s">
        <v>569</v>
      </c>
      <c r="D10">
        <v>9.99</v>
      </c>
      <c r="F10">
        <v>9.99</v>
      </c>
    </row>
    <row r="11" spans="1:6" x14ac:dyDescent="0.3">
      <c r="A11" s="2" t="s">
        <v>601</v>
      </c>
      <c r="E11">
        <v>9.99</v>
      </c>
      <c r="F11">
        <v>9.99</v>
      </c>
    </row>
    <row r="12" spans="1:6" x14ac:dyDescent="0.3">
      <c r="A12" s="2" t="s">
        <v>673</v>
      </c>
      <c r="C12">
        <v>10</v>
      </c>
      <c r="F12">
        <v>10</v>
      </c>
    </row>
    <row r="13" spans="1:6" x14ac:dyDescent="0.3">
      <c r="A13" s="2" t="s">
        <v>711</v>
      </c>
      <c r="C13">
        <v>9.94</v>
      </c>
      <c r="F13">
        <v>9.94</v>
      </c>
    </row>
    <row r="14" spans="1:6" x14ac:dyDescent="0.3">
      <c r="A14" s="2" t="s">
        <v>860</v>
      </c>
      <c r="C14">
        <v>9.94</v>
      </c>
      <c r="F14">
        <v>9.94</v>
      </c>
    </row>
    <row r="15" spans="1:6" x14ac:dyDescent="0.3">
      <c r="A15" s="2" t="s">
        <v>932</v>
      </c>
      <c r="C15">
        <v>29.879999999999995</v>
      </c>
      <c r="D15">
        <v>9.99</v>
      </c>
      <c r="E15">
        <v>59.76</v>
      </c>
      <c r="F15">
        <v>99.63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B694-2B98-4334-8E2A-C21DEEAC498F}">
  <dimension ref="A1:C8"/>
  <sheetViews>
    <sheetView workbookViewId="0">
      <selection activeCell="H28" sqref="H28"/>
    </sheetView>
  </sheetViews>
  <sheetFormatPr defaultRowHeight="14.4" x14ac:dyDescent="0.3"/>
  <cols>
    <col min="1" max="1" width="12.5546875" bestFit="1" customWidth="1"/>
    <col min="2" max="2" width="19.88671875" bestFit="1" customWidth="1"/>
    <col min="3" max="3" width="6" bestFit="1" customWidth="1"/>
    <col min="4" max="5" width="8" bestFit="1" customWidth="1"/>
    <col min="6" max="6" width="10.77734375" bestFit="1" customWidth="1"/>
    <col min="7" max="7" width="10.6640625" bestFit="1" customWidth="1"/>
    <col min="8" max="8" width="8" bestFit="1" customWidth="1"/>
    <col min="9" max="9" width="10.6640625" bestFit="1" customWidth="1"/>
    <col min="10" max="10" width="8" bestFit="1" customWidth="1"/>
    <col min="11" max="11" width="10.6640625" bestFit="1" customWidth="1"/>
    <col min="12" max="12" width="8" bestFit="1" customWidth="1"/>
    <col min="13" max="13" width="10.6640625" bestFit="1" customWidth="1"/>
    <col min="14" max="14" width="8" bestFit="1" customWidth="1"/>
    <col min="15" max="15" width="10.6640625" bestFit="1" customWidth="1"/>
    <col min="16" max="16" width="8" bestFit="1" customWidth="1"/>
    <col min="17" max="17" width="10.6640625" bestFit="1" customWidth="1"/>
    <col min="18" max="18" width="8" bestFit="1" customWidth="1"/>
    <col min="19" max="19" width="10.6640625" bestFit="1" customWidth="1"/>
    <col min="20" max="20" width="8" bestFit="1" customWidth="1"/>
    <col min="21" max="21" width="10.6640625" bestFit="1" customWidth="1"/>
    <col min="22" max="22" width="10.77734375" bestFit="1" customWidth="1"/>
    <col min="23" max="896" width="6" bestFit="1" customWidth="1"/>
    <col min="897" max="897" width="10.77734375" bestFit="1" customWidth="1"/>
  </cols>
  <sheetData>
    <row r="1" spans="1:3" x14ac:dyDescent="0.3">
      <c r="A1" s="1" t="s">
        <v>2</v>
      </c>
      <c r="B1" t="s">
        <v>935</v>
      </c>
    </row>
    <row r="3" spans="1:3" x14ac:dyDescent="0.3">
      <c r="A3" s="1" t="s">
        <v>931</v>
      </c>
      <c r="B3" t="s">
        <v>934</v>
      </c>
    </row>
    <row r="4" spans="1:3" x14ac:dyDescent="0.3">
      <c r="A4" s="2">
        <v>1</v>
      </c>
      <c r="B4">
        <v>25396.69999999999</v>
      </c>
      <c r="C4" s="5">
        <f>GETPIVOTDATA("Attendance_%",$A$3,"Year_of_Study",1)/GETPIVOTDATA("Attendance_%",$A$3)</f>
        <v>0.38042019424921641</v>
      </c>
    </row>
    <row r="5" spans="1:3" x14ac:dyDescent="0.3">
      <c r="A5" s="2">
        <v>2</v>
      </c>
      <c r="B5">
        <v>24442.899999999998</v>
      </c>
      <c r="C5" s="5">
        <f>GETPIVOTDATA("Attendance_%",$A$3,"Year_of_Study",2)/GETPIVOTDATA("Attendance_%",$A$3)</f>
        <v>0.36613311044404095</v>
      </c>
    </row>
    <row r="6" spans="1:3" x14ac:dyDescent="0.3">
      <c r="A6" s="2">
        <v>3</v>
      </c>
      <c r="B6">
        <v>15503.000000000005</v>
      </c>
      <c r="C6" s="5">
        <f>GETPIVOTDATA("Attendance_%",$A$3,"Year_of_Study",3)/GETPIVOTDATA("Attendance_%",$A$3)</f>
        <v>0.23222128353075819</v>
      </c>
    </row>
    <row r="7" spans="1:3" x14ac:dyDescent="0.3">
      <c r="A7" s="2">
        <v>4</v>
      </c>
      <c r="B7">
        <v>1417</v>
      </c>
      <c r="C7" s="5">
        <f>GETPIVOTDATA("Attendance_%",$A$3,"Year_of_Study",4)/GETPIVOTDATA("Attendance_%",$A$3)</f>
        <v>2.1225411775984276E-2</v>
      </c>
    </row>
    <row r="8" spans="1:3" x14ac:dyDescent="0.3">
      <c r="A8" s="2" t="s">
        <v>932</v>
      </c>
      <c r="B8" s="4">
        <v>66759.600000000006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579A-8464-4726-BE44-102D6D7C230B}">
  <dimension ref="A3:B38"/>
  <sheetViews>
    <sheetView workbookViewId="0">
      <selection activeCell="B3" sqref="B3"/>
    </sheetView>
  </sheetViews>
  <sheetFormatPr defaultRowHeight="14.4" x14ac:dyDescent="0.3"/>
  <cols>
    <col min="1" max="1" width="12.5546875" bestFit="1" customWidth="1"/>
    <col min="2" max="2" width="15.33203125" bestFit="1" customWidth="1"/>
    <col min="3" max="3" width="20" bestFit="1" customWidth="1"/>
    <col min="4" max="5" width="8" bestFit="1" customWidth="1"/>
    <col min="6" max="6" width="10.77734375" bestFit="1" customWidth="1"/>
    <col min="7" max="7" width="10.6640625" bestFit="1" customWidth="1"/>
    <col min="8" max="8" width="8" bestFit="1" customWidth="1"/>
    <col min="9" max="9" width="10.6640625" bestFit="1" customWidth="1"/>
    <col min="10" max="10" width="8" bestFit="1" customWidth="1"/>
    <col min="11" max="11" width="10.6640625" bestFit="1" customWidth="1"/>
    <col min="12" max="12" width="8" bestFit="1" customWidth="1"/>
    <col min="13" max="13" width="10.6640625" bestFit="1" customWidth="1"/>
    <col min="14" max="14" width="8" bestFit="1" customWidth="1"/>
    <col min="15" max="15" width="10.6640625" bestFit="1" customWidth="1"/>
    <col min="16" max="16" width="8" bestFit="1" customWidth="1"/>
    <col min="17" max="17" width="10.6640625" bestFit="1" customWidth="1"/>
    <col min="18" max="18" width="8" bestFit="1" customWidth="1"/>
    <col min="19" max="19" width="10.6640625" bestFit="1" customWidth="1"/>
    <col min="20" max="20" width="8" bestFit="1" customWidth="1"/>
    <col min="21" max="21" width="10.6640625" bestFit="1" customWidth="1"/>
    <col min="22" max="22" width="10.77734375" bestFit="1" customWidth="1"/>
    <col min="23" max="896" width="6" bestFit="1" customWidth="1"/>
    <col min="897" max="897" width="10.77734375" bestFit="1" customWidth="1"/>
  </cols>
  <sheetData>
    <row r="3" spans="1:2" x14ac:dyDescent="0.3">
      <c r="A3" s="1" t="s">
        <v>931</v>
      </c>
      <c r="B3" t="s">
        <v>936</v>
      </c>
    </row>
    <row r="4" spans="1:2" x14ac:dyDescent="0.3">
      <c r="A4" s="2" t="s">
        <v>16</v>
      </c>
      <c r="B4" s="6">
        <v>7.1775510204081643</v>
      </c>
    </row>
    <row r="5" spans="1:2" x14ac:dyDescent="0.3">
      <c r="A5" s="3">
        <v>1</v>
      </c>
      <c r="B5" s="6">
        <v>7.3007142857142853</v>
      </c>
    </row>
    <row r="6" spans="1:2" x14ac:dyDescent="0.3">
      <c r="A6" s="3">
        <v>2</v>
      </c>
      <c r="B6" s="6">
        <v>7.450263157894736</v>
      </c>
    </row>
    <row r="7" spans="1:2" x14ac:dyDescent="0.3">
      <c r="A7" s="3">
        <v>3</v>
      </c>
      <c r="B7" s="6">
        <v>6.7459375000000019</v>
      </c>
    </row>
    <row r="8" spans="1:2" x14ac:dyDescent="0.3">
      <c r="A8" s="2" t="s">
        <v>48</v>
      </c>
      <c r="B8" s="6">
        <v>7.1159139784946248</v>
      </c>
    </row>
    <row r="9" spans="1:2" x14ac:dyDescent="0.3">
      <c r="A9" s="3">
        <v>1</v>
      </c>
      <c r="B9" s="6">
        <v>7.0185185185185164</v>
      </c>
    </row>
    <row r="10" spans="1:2" x14ac:dyDescent="0.3">
      <c r="A10" s="3">
        <v>2</v>
      </c>
      <c r="B10" s="6">
        <v>7.2023529411764722</v>
      </c>
    </row>
    <row r="11" spans="1:2" x14ac:dyDescent="0.3">
      <c r="A11" s="3">
        <v>3</v>
      </c>
      <c r="B11" s="6">
        <v>7.1062500000000002</v>
      </c>
    </row>
    <row r="12" spans="1:2" x14ac:dyDescent="0.3">
      <c r="A12" s="2" t="s">
        <v>32</v>
      </c>
      <c r="B12" s="6">
        <v>7.0910869565217425</v>
      </c>
    </row>
    <row r="13" spans="1:2" x14ac:dyDescent="0.3">
      <c r="A13" s="3">
        <v>1</v>
      </c>
      <c r="B13" s="6">
        <v>7.0400000000000027</v>
      </c>
    </row>
    <row r="14" spans="1:2" x14ac:dyDescent="0.3">
      <c r="A14" s="3">
        <v>2</v>
      </c>
      <c r="B14" s="6">
        <v>7.0094117647058809</v>
      </c>
    </row>
    <row r="15" spans="1:2" x14ac:dyDescent="0.3">
      <c r="A15" s="3">
        <v>3</v>
      </c>
      <c r="B15" s="6">
        <v>7.2861290322580654</v>
      </c>
    </row>
    <row r="16" spans="1:2" x14ac:dyDescent="0.3">
      <c r="A16" s="3">
        <v>4</v>
      </c>
      <c r="B16" s="6">
        <v>6.9061111111111124</v>
      </c>
    </row>
    <row r="17" spans="1:2" x14ac:dyDescent="0.3">
      <c r="A17" s="2" t="s">
        <v>37</v>
      </c>
      <c r="B17" s="6">
        <v>7.0410000000000013</v>
      </c>
    </row>
    <row r="18" spans="1:2" x14ac:dyDescent="0.3">
      <c r="A18" s="3">
        <v>1</v>
      </c>
      <c r="B18" s="6">
        <v>6.8703125000000016</v>
      </c>
    </row>
    <row r="19" spans="1:2" x14ac:dyDescent="0.3">
      <c r="A19" s="3">
        <v>2</v>
      </c>
      <c r="B19" s="6">
        <v>6.5224137931034498</v>
      </c>
    </row>
    <row r="20" spans="1:2" x14ac:dyDescent="0.3">
      <c r="A20" s="3">
        <v>3</v>
      </c>
      <c r="B20" s="6">
        <v>7.5666666666666673</v>
      </c>
    </row>
    <row r="21" spans="1:2" x14ac:dyDescent="0.3">
      <c r="A21" s="2" t="s">
        <v>26</v>
      </c>
      <c r="B21" s="6">
        <v>6.9474999999999998</v>
      </c>
    </row>
    <row r="22" spans="1:2" x14ac:dyDescent="0.3">
      <c r="A22" s="3">
        <v>1</v>
      </c>
      <c r="B22" s="6">
        <v>6.8833898305084755</v>
      </c>
    </row>
    <row r="23" spans="1:2" x14ac:dyDescent="0.3">
      <c r="A23" s="3">
        <v>2</v>
      </c>
      <c r="B23" s="6">
        <v>7.0188679245283021</v>
      </c>
    </row>
    <row r="24" spans="1:2" x14ac:dyDescent="0.3">
      <c r="A24" s="2" t="s">
        <v>43</v>
      </c>
      <c r="B24" s="6">
        <v>6.9131578947368437</v>
      </c>
    </row>
    <row r="25" spans="1:2" x14ac:dyDescent="0.3">
      <c r="A25" s="3">
        <v>1</v>
      </c>
      <c r="B25" s="6">
        <v>7.4070967741935494</v>
      </c>
    </row>
    <row r="26" spans="1:2" x14ac:dyDescent="0.3">
      <c r="A26" s="3">
        <v>2</v>
      </c>
      <c r="B26" s="6">
        <v>6.555161290322582</v>
      </c>
    </row>
    <row r="27" spans="1:2" x14ac:dyDescent="0.3">
      <c r="A27" s="3">
        <v>3</v>
      </c>
      <c r="B27" s="6">
        <v>6.7854545454545452</v>
      </c>
    </row>
    <row r="28" spans="1:2" x14ac:dyDescent="0.3">
      <c r="A28" s="2" t="s">
        <v>29</v>
      </c>
      <c r="B28" s="6">
        <v>6.899595959595958</v>
      </c>
    </row>
    <row r="29" spans="1:2" x14ac:dyDescent="0.3">
      <c r="A29" s="3">
        <v>1</v>
      </c>
      <c r="B29" s="6">
        <v>6.7730000000000006</v>
      </c>
    </row>
    <row r="30" spans="1:2" x14ac:dyDescent="0.3">
      <c r="A30" s="3">
        <v>2</v>
      </c>
      <c r="B30" s="6">
        <v>7.0287755102040794</v>
      </c>
    </row>
    <row r="31" spans="1:2" x14ac:dyDescent="0.3">
      <c r="A31" s="2" t="s">
        <v>22</v>
      </c>
      <c r="B31" s="6">
        <v>6.8867391304347843</v>
      </c>
    </row>
    <row r="32" spans="1:2" x14ac:dyDescent="0.3">
      <c r="A32" s="3">
        <v>1</v>
      </c>
      <c r="B32" s="6">
        <v>6.9974468085106407</v>
      </c>
    </row>
    <row r="33" spans="1:2" x14ac:dyDescent="0.3">
      <c r="A33" s="3">
        <v>2</v>
      </c>
      <c r="B33" s="6">
        <v>6.7711111111111135</v>
      </c>
    </row>
    <row r="34" spans="1:2" x14ac:dyDescent="0.3">
      <c r="A34" s="2" t="s">
        <v>39</v>
      </c>
      <c r="B34" s="6">
        <v>6.845438596491225</v>
      </c>
    </row>
    <row r="35" spans="1:2" x14ac:dyDescent="0.3">
      <c r="A35" s="3">
        <v>1</v>
      </c>
      <c r="B35" s="6">
        <v>6.6997560975609751</v>
      </c>
    </row>
    <row r="36" spans="1:2" x14ac:dyDescent="0.3">
      <c r="A36" s="3">
        <v>2</v>
      </c>
      <c r="B36" s="6">
        <v>6.6149999999999993</v>
      </c>
    </row>
    <row r="37" spans="1:2" x14ac:dyDescent="0.3">
      <c r="A37" s="3">
        <v>3</v>
      </c>
      <c r="B37" s="6">
        <v>7.1709756097560975</v>
      </c>
    </row>
    <row r="38" spans="1:2" x14ac:dyDescent="0.3">
      <c r="A38" s="2" t="s">
        <v>932</v>
      </c>
      <c r="B38" s="6">
        <v>6.9872067039106192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23ED-0CA3-4AF6-B00F-F9E37D455715}">
  <dimension ref="A3:D9"/>
  <sheetViews>
    <sheetView zoomScaleNormal="100" workbookViewId="0">
      <selection activeCell="F5" sqref="F5"/>
    </sheetView>
  </sheetViews>
  <sheetFormatPr defaultRowHeight="14.4" x14ac:dyDescent="0.3"/>
  <cols>
    <col min="1" max="1" width="12.5546875" bestFit="1" customWidth="1"/>
    <col min="2" max="2" width="19.88671875" bestFit="1" customWidth="1"/>
    <col min="3" max="3" width="15.33203125" bestFit="1" customWidth="1"/>
    <col min="4" max="5" width="8" bestFit="1" customWidth="1"/>
    <col min="6" max="6" width="10.77734375" bestFit="1" customWidth="1"/>
    <col min="7" max="7" width="10.6640625" bestFit="1" customWidth="1"/>
    <col min="8" max="8" width="8" bestFit="1" customWidth="1"/>
    <col min="9" max="9" width="10.6640625" bestFit="1" customWidth="1"/>
    <col min="10" max="10" width="8" bestFit="1" customWidth="1"/>
    <col min="11" max="11" width="10.6640625" bestFit="1" customWidth="1"/>
    <col min="12" max="12" width="8" bestFit="1" customWidth="1"/>
    <col min="13" max="13" width="10.6640625" bestFit="1" customWidth="1"/>
    <col min="14" max="14" width="8" bestFit="1" customWidth="1"/>
    <col min="15" max="15" width="10.6640625" bestFit="1" customWidth="1"/>
    <col min="16" max="16" width="8" bestFit="1" customWidth="1"/>
    <col min="17" max="17" width="10.6640625" bestFit="1" customWidth="1"/>
    <col min="18" max="18" width="8" bestFit="1" customWidth="1"/>
    <col min="19" max="19" width="10.6640625" bestFit="1" customWidth="1"/>
    <col min="20" max="20" width="8" bestFit="1" customWidth="1"/>
    <col min="21" max="21" width="10.6640625" bestFit="1" customWidth="1"/>
    <col min="22" max="22" width="10.77734375" bestFit="1" customWidth="1"/>
    <col min="23" max="896" width="6" bestFit="1" customWidth="1"/>
    <col min="897" max="897" width="10.77734375" bestFit="1" customWidth="1"/>
  </cols>
  <sheetData>
    <row r="3" spans="1:4" x14ac:dyDescent="0.3">
      <c r="A3" s="1" t="s">
        <v>931</v>
      </c>
      <c r="B3" t="s">
        <v>934</v>
      </c>
      <c r="C3" t="s">
        <v>936</v>
      </c>
    </row>
    <row r="4" spans="1:4" x14ac:dyDescent="0.3">
      <c r="A4" s="2" t="s">
        <v>23</v>
      </c>
      <c r="B4" s="8">
        <v>14232.100000000011</v>
      </c>
      <c r="C4" s="6">
        <v>6.8177435897435901</v>
      </c>
      <c r="D4" s="5">
        <f>GETPIVOTDATA("Sum of Attendance_%",$A$3,"Club_Participation","Cultural")/GETPIVOTDATA("Sum of Attendance_%",$A$3)</f>
        <v>0.19361559985380355</v>
      </c>
    </row>
    <row r="5" spans="1:4" x14ac:dyDescent="0.3">
      <c r="A5" s="2" t="s">
        <v>33</v>
      </c>
      <c r="B5" s="8">
        <v>13757.699999999999</v>
      </c>
      <c r="C5" s="6">
        <v>7.1267582417582398</v>
      </c>
      <c r="D5" s="5">
        <f>GETPIVOTDATA("Sum of Attendance_%",$A$3,"Club_Participation","Literature")/GETPIVOTDATA("Sum of Attendance_%",$A$3)</f>
        <v>0.20440955308300215</v>
      </c>
    </row>
    <row r="6" spans="1:4" x14ac:dyDescent="0.3">
      <c r="A6" s="2" t="s">
        <v>35</v>
      </c>
      <c r="B6" s="8">
        <v>13646.300000000007</v>
      </c>
      <c r="C6" s="6">
        <v>6.8059016393442624</v>
      </c>
      <c r="D6" s="5">
        <f>GETPIVOTDATA("Sum of Attendance_%",$A$3,"Club_Participation","None")/GETPIVOTDATA("Sum of Attendance_%",$A$3)</f>
        <v>0.18271229905511682</v>
      </c>
    </row>
    <row r="7" spans="1:4" x14ac:dyDescent="0.3">
      <c r="A7" s="2" t="s">
        <v>54</v>
      </c>
      <c r="B7" s="8">
        <v>12925.699999999999</v>
      </c>
      <c r="C7" s="6">
        <v>7.0895375722543337</v>
      </c>
      <c r="D7" s="5">
        <f>GETPIVOTDATA("Sum of Attendance_%",$A$3,"Club_Participation","Sports")/GETPIVOTDATA("Sum of Attendance_%",$A$3)</f>
        <v>0.20607822695162917</v>
      </c>
    </row>
    <row r="8" spans="1:4" x14ac:dyDescent="0.3">
      <c r="A8" s="2" t="s">
        <v>18</v>
      </c>
      <c r="B8" s="8">
        <v>12197.799999999992</v>
      </c>
      <c r="C8" s="6">
        <v>7.1299382716049404</v>
      </c>
      <c r="D8" s="5">
        <f>GETPIVOTDATA("Sum of Attendance_%",$A$3,"Club_Participation","Tech")/GETPIVOTDATA("Sum of Attendance_%",$A$3)</f>
        <v>0.21318432105644722</v>
      </c>
    </row>
    <row r="9" spans="1:4" x14ac:dyDescent="0.3">
      <c r="A9" s="2" t="s">
        <v>932</v>
      </c>
      <c r="B9" s="8">
        <v>66759.600000000079</v>
      </c>
      <c r="C9" s="6">
        <v>6.9872067039106227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A9FE-CFD7-4017-92DE-11C8103A392C}">
  <dimension ref="A3:C7"/>
  <sheetViews>
    <sheetView workbookViewId="0">
      <selection activeCell="A3" sqref="A3:B7"/>
    </sheetView>
  </sheetViews>
  <sheetFormatPr defaultRowHeight="14.4" x14ac:dyDescent="0.3"/>
  <cols>
    <col min="1" max="1" width="12.5546875" bestFit="1" customWidth="1"/>
    <col min="2" max="2" width="18.109375" bestFit="1" customWidth="1"/>
    <col min="3" max="3" width="11" customWidth="1"/>
    <col min="4" max="6" width="4" bestFit="1" customWidth="1"/>
    <col min="7" max="7" width="2" bestFit="1" customWidth="1"/>
    <col min="8" max="16" width="4" bestFit="1" customWidth="1"/>
    <col min="17" max="17" width="2" bestFit="1" customWidth="1"/>
    <col min="18" max="26" width="4" bestFit="1" customWidth="1"/>
    <col min="27" max="27" width="2" bestFit="1" customWidth="1"/>
    <col min="28" max="36" width="4" bestFit="1" customWidth="1"/>
    <col min="37" max="37" width="2" bestFit="1" customWidth="1"/>
    <col min="38" max="46" width="4" bestFit="1" customWidth="1"/>
    <col min="47" max="47" width="2" bestFit="1" customWidth="1"/>
    <col min="48" max="56" width="4" bestFit="1" customWidth="1"/>
    <col min="57" max="57" width="2" bestFit="1" customWidth="1"/>
    <col min="58" max="66" width="4" bestFit="1" customWidth="1"/>
    <col min="67" max="67" width="3" bestFit="1" customWidth="1"/>
    <col min="68" max="68" width="10.77734375" bestFit="1" customWidth="1"/>
    <col min="69" max="896" width="6" bestFit="1" customWidth="1"/>
    <col min="897" max="897" width="10.77734375" bestFit="1" customWidth="1"/>
  </cols>
  <sheetData>
    <row r="3" spans="1:3" x14ac:dyDescent="0.3">
      <c r="A3" s="1" t="s">
        <v>931</v>
      </c>
      <c r="B3" t="s">
        <v>937</v>
      </c>
    </row>
    <row r="4" spans="1:3" x14ac:dyDescent="0.3">
      <c r="A4" s="2" t="s">
        <v>17</v>
      </c>
      <c r="B4" s="7">
        <v>2108.4999999999995</v>
      </c>
      <c r="C4" s="5">
        <f>GETPIVOTDATA("Sleep_Hours",$A$3,"Living_Type","Day Scholar")/GETPIVOTDATA("Sleep_Hours",$A$3)</f>
        <v>0.34814411201373757</v>
      </c>
    </row>
    <row r="5" spans="1:3" x14ac:dyDescent="0.3">
      <c r="A5" s="2" t="s">
        <v>30</v>
      </c>
      <c r="B5" s="7">
        <v>1871.3999999999992</v>
      </c>
      <c r="C5" s="5">
        <f>GETPIVOTDATA("Sleep_Hours",$A$3,"Living_Type","Hostel")/GETPIVOTDATA("Sleep_Hours",$A$3)</f>
        <v>0.3089954428373291</v>
      </c>
    </row>
    <row r="6" spans="1:3" x14ac:dyDescent="0.3">
      <c r="A6" s="2" t="s">
        <v>27</v>
      </c>
      <c r="B6" s="7">
        <v>2076.4999999999995</v>
      </c>
      <c r="C6" s="5">
        <f>GETPIVOTDATA("Sleep_Hours",$A$3,"Living_Type","Room")/GETPIVOTDATA("Sleep_Hours",$A$3)</f>
        <v>0.34286044514893343</v>
      </c>
    </row>
    <row r="7" spans="1:3" x14ac:dyDescent="0.3">
      <c r="A7" s="2" t="s">
        <v>932</v>
      </c>
      <c r="B7" s="7">
        <v>6056.3999999999978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20FB9-CEBE-49FF-8B83-40E028B9A28B}">
  <dimension ref="A3:E6"/>
  <sheetViews>
    <sheetView workbookViewId="0">
      <selection activeCell="D21" sqref="D21"/>
    </sheetView>
  </sheetViews>
  <sheetFormatPr defaultRowHeight="14.4" x14ac:dyDescent="0.3"/>
  <cols>
    <col min="1" max="1" width="15.33203125" bestFit="1" customWidth="1"/>
    <col min="2" max="2" width="23.109375" bestFit="1" customWidth="1"/>
    <col min="3" max="3" width="21.33203125" bestFit="1" customWidth="1"/>
    <col min="4" max="4" width="32" bestFit="1" customWidth="1"/>
    <col min="5" max="5" width="29.109375" bestFit="1" customWidth="1"/>
  </cols>
  <sheetData>
    <row r="3" spans="1:5" x14ac:dyDescent="0.3">
      <c r="A3" t="s">
        <v>936</v>
      </c>
      <c r="B3" t="s">
        <v>939</v>
      </c>
      <c r="C3" t="s">
        <v>938</v>
      </c>
      <c r="D3" t="s">
        <v>940</v>
      </c>
      <c r="E3" t="s">
        <v>941</v>
      </c>
    </row>
    <row r="4" spans="1:5" x14ac:dyDescent="0.3">
      <c r="A4" s="7">
        <v>6.9872067039106236</v>
      </c>
      <c r="B4" s="7">
        <v>74.591731843575403</v>
      </c>
      <c r="C4" s="7">
        <v>6.7669273743016696</v>
      </c>
      <c r="D4" s="7">
        <v>4.51586592178771</v>
      </c>
      <c r="E4" s="7">
        <v>5.4502793296089385</v>
      </c>
    </row>
    <row r="6" spans="1:5" x14ac:dyDescent="0.3">
      <c r="A6" s="7">
        <f>GETPIVOTDATA("Average of CGPA",$A$3)</f>
        <v>6.9872067039106236</v>
      </c>
      <c r="B6" s="7">
        <f>GETPIVOTDATA("Average of Attendance_%",$A$3)</f>
        <v>74.591731843575403</v>
      </c>
      <c r="C6" s="7">
        <f>GETPIVOTDATA("Average of Sleep_Hours",$A$3)</f>
        <v>6.7669273743016696</v>
      </c>
      <c r="D6" s="7">
        <f>GETPIVOTDATA("Average of Social_Media_Usage_hrs",$A$3)</f>
        <v>4.51586592178771</v>
      </c>
      <c r="E6" s="7">
        <f>GETPIVOTDATA("Average of Career_Anxiety_Level",$A$3)</f>
        <v>5.4502793296089385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78CE-4C09-465C-8692-31396EE946AC}">
  <dimension ref="A1"/>
  <sheetViews>
    <sheetView tabSelected="1" workbookViewId="0">
      <selection activeCell="G9" sqref="G9"/>
    </sheetView>
  </sheetViews>
  <sheetFormatPr defaultRowHeight="14.4" x14ac:dyDescent="0.3"/>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Education_Dataset</vt:lpstr>
      <vt:lpstr>Top scorer by gender from years</vt:lpstr>
      <vt:lpstr>Attandance by year</vt:lpstr>
      <vt:lpstr>cgpa by field of study by year</vt:lpstr>
      <vt:lpstr>club participation by attandanc</vt:lpstr>
      <vt:lpstr>living type by sleep</vt:lpstr>
      <vt:lpstr>kpis &amp; 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Amshith Kharvi</dc:creator>
  <cp:lastModifiedBy>Amshith Kharvi</cp:lastModifiedBy>
  <dcterms:created xsi:type="dcterms:W3CDTF">2026-03-23T08:44:43Z</dcterms:created>
  <dcterms:modified xsi:type="dcterms:W3CDTF">2026-03-31T09:28:31Z</dcterms:modified>
</cp:coreProperties>
</file>